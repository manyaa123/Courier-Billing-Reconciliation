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nya\Downloads\"/>
    </mc:Choice>
  </mc:AlternateContent>
  <xr:revisionPtr revIDLastSave="0" documentId="13_ncr:1_{2BE8839A-0018-45A9-9FD0-CD8AA56F850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Order Level Detail" sheetId="2" r:id="rId1"/>
    <sheet name="Summary" sheetId="1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25" i="2" l="1"/>
  <c r="F125" i="2"/>
  <c r="D125" i="2"/>
  <c r="K124" i="2"/>
  <c r="F124" i="2"/>
  <c r="D124" i="2"/>
  <c r="K123" i="2"/>
  <c r="F123" i="2"/>
  <c r="D123" i="2"/>
  <c r="K122" i="2"/>
  <c r="F122" i="2"/>
  <c r="D122" i="2"/>
  <c r="K121" i="2"/>
  <c r="F121" i="2"/>
  <c r="D121" i="2"/>
  <c r="K120" i="2"/>
  <c r="F120" i="2"/>
  <c r="D120" i="2"/>
  <c r="K119" i="2"/>
  <c r="F119" i="2"/>
  <c r="D119" i="2"/>
  <c r="K118" i="2"/>
  <c r="F118" i="2"/>
  <c r="D118" i="2"/>
  <c r="K117" i="2"/>
  <c r="F117" i="2"/>
  <c r="D117" i="2"/>
  <c r="K116" i="2"/>
  <c r="F116" i="2"/>
  <c r="D116" i="2"/>
  <c r="K115" i="2"/>
  <c r="F115" i="2"/>
  <c r="D115" i="2"/>
  <c r="K114" i="2"/>
  <c r="F114" i="2"/>
  <c r="D114" i="2"/>
  <c r="K113" i="2"/>
  <c r="F113" i="2"/>
  <c r="D113" i="2"/>
  <c r="K112" i="2"/>
  <c r="F112" i="2"/>
  <c r="D112" i="2"/>
  <c r="K111" i="2"/>
  <c r="F111" i="2"/>
  <c r="D111" i="2"/>
  <c r="K110" i="2"/>
  <c r="F110" i="2"/>
  <c r="D110" i="2"/>
  <c r="K109" i="2"/>
  <c r="F109" i="2"/>
  <c r="D109" i="2"/>
  <c r="K108" i="2"/>
  <c r="F108" i="2"/>
  <c r="D108" i="2"/>
  <c r="K107" i="2"/>
  <c r="F107" i="2"/>
  <c r="D107" i="2"/>
  <c r="K106" i="2"/>
  <c r="F106" i="2"/>
  <c r="D106" i="2"/>
  <c r="K105" i="2"/>
  <c r="F105" i="2"/>
  <c r="D105" i="2"/>
  <c r="K104" i="2"/>
  <c r="F104" i="2"/>
  <c r="D104" i="2"/>
  <c r="K103" i="2"/>
  <c r="F103" i="2"/>
  <c r="D103" i="2"/>
  <c r="K102" i="2"/>
  <c r="F102" i="2"/>
  <c r="D102" i="2"/>
  <c r="K101" i="2"/>
  <c r="F101" i="2"/>
  <c r="D101" i="2"/>
  <c r="K100" i="2"/>
  <c r="F100" i="2"/>
  <c r="D100" i="2"/>
  <c r="K99" i="2"/>
  <c r="F99" i="2"/>
  <c r="D99" i="2"/>
  <c r="K98" i="2"/>
  <c r="F98" i="2"/>
  <c r="D98" i="2"/>
  <c r="K97" i="2"/>
  <c r="F97" i="2"/>
  <c r="D97" i="2"/>
  <c r="K96" i="2"/>
  <c r="F96" i="2"/>
  <c r="D96" i="2"/>
  <c r="K95" i="2"/>
  <c r="F95" i="2"/>
  <c r="D95" i="2"/>
  <c r="K94" i="2"/>
  <c r="F94" i="2"/>
  <c r="D94" i="2"/>
  <c r="K93" i="2"/>
  <c r="F93" i="2"/>
  <c r="D93" i="2"/>
  <c r="K92" i="2"/>
  <c r="F92" i="2"/>
  <c r="D92" i="2"/>
  <c r="K91" i="2"/>
  <c r="F91" i="2"/>
  <c r="D91" i="2"/>
  <c r="K90" i="2"/>
  <c r="F90" i="2"/>
  <c r="D90" i="2"/>
  <c r="K89" i="2"/>
  <c r="F89" i="2"/>
  <c r="D89" i="2"/>
  <c r="K88" i="2"/>
  <c r="F88" i="2"/>
  <c r="D88" i="2"/>
  <c r="K87" i="2"/>
  <c r="F87" i="2"/>
  <c r="D87" i="2"/>
  <c r="K86" i="2"/>
  <c r="F86" i="2"/>
  <c r="D86" i="2"/>
  <c r="K85" i="2"/>
  <c r="F85" i="2"/>
  <c r="D85" i="2"/>
  <c r="K84" i="2"/>
  <c r="F84" i="2"/>
  <c r="D84" i="2"/>
  <c r="K83" i="2"/>
  <c r="F83" i="2"/>
  <c r="D83" i="2"/>
  <c r="K82" i="2"/>
  <c r="F82" i="2"/>
  <c r="D82" i="2"/>
  <c r="K81" i="2"/>
  <c r="F81" i="2"/>
  <c r="D81" i="2"/>
  <c r="K80" i="2"/>
  <c r="F80" i="2"/>
  <c r="D80" i="2"/>
  <c r="K79" i="2"/>
  <c r="F79" i="2"/>
  <c r="D79" i="2"/>
  <c r="K78" i="2"/>
  <c r="F78" i="2"/>
  <c r="D78" i="2"/>
  <c r="K77" i="2"/>
  <c r="F77" i="2"/>
  <c r="D77" i="2"/>
  <c r="K76" i="2"/>
  <c r="F76" i="2"/>
  <c r="D76" i="2"/>
  <c r="K75" i="2"/>
  <c r="F75" i="2"/>
  <c r="D75" i="2"/>
  <c r="K74" i="2"/>
  <c r="F74" i="2"/>
  <c r="D74" i="2"/>
  <c r="K73" i="2"/>
  <c r="F73" i="2"/>
  <c r="D73" i="2"/>
  <c r="K72" i="2"/>
  <c r="F72" i="2"/>
  <c r="D72" i="2"/>
  <c r="K71" i="2"/>
  <c r="F71" i="2"/>
  <c r="D71" i="2"/>
  <c r="K70" i="2"/>
  <c r="F70" i="2"/>
  <c r="D70" i="2"/>
  <c r="K69" i="2"/>
  <c r="F69" i="2"/>
  <c r="D69" i="2"/>
  <c r="K68" i="2"/>
  <c r="F68" i="2"/>
  <c r="D68" i="2"/>
  <c r="K67" i="2"/>
  <c r="F67" i="2"/>
  <c r="D67" i="2"/>
  <c r="K66" i="2"/>
  <c r="F66" i="2"/>
  <c r="D66" i="2"/>
  <c r="K65" i="2"/>
  <c r="F65" i="2"/>
  <c r="D65" i="2"/>
  <c r="K64" i="2"/>
  <c r="F64" i="2"/>
  <c r="D64" i="2"/>
  <c r="K63" i="2"/>
  <c r="F63" i="2"/>
  <c r="D63" i="2"/>
  <c r="K62" i="2"/>
  <c r="F62" i="2"/>
  <c r="D62" i="2"/>
  <c r="K61" i="2"/>
  <c r="F61" i="2"/>
  <c r="D61" i="2"/>
  <c r="K60" i="2"/>
  <c r="F60" i="2"/>
  <c r="D60" i="2"/>
  <c r="K59" i="2"/>
  <c r="F59" i="2"/>
  <c r="D59" i="2"/>
  <c r="K58" i="2"/>
  <c r="F58" i="2"/>
  <c r="D58" i="2"/>
  <c r="K57" i="2"/>
  <c r="F57" i="2"/>
  <c r="D57" i="2"/>
  <c r="K56" i="2"/>
  <c r="F56" i="2"/>
  <c r="D56" i="2"/>
  <c r="K55" i="2"/>
  <c r="F55" i="2"/>
  <c r="D55" i="2"/>
  <c r="K54" i="2"/>
  <c r="F54" i="2"/>
  <c r="D54" i="2"/>
  <c r="K53" i="2"/>
  <c r="F53" i="2"/>
  <c r="D53" i="2"/>
  <c r="K52" i="2"/>
  <c r="F52" i="2"/>
  <c r="D52" i="2"/>
  <c r="K51" i="2"/>
  <c r="F51" i="2"/>
  <c r="D51" i="2"/>
  <c r="K50" i="2"/>
  <c r="F50" i="2"/>
  <c r="D50" i="2"/>
  <c r="K49" i="2"/>
  <c r="F49" i="2"/>
  <c r="D49" i="2"/>
  <c r="K48" i="2"/>
  <c r="F48" i="2"/>
  <c r="D48" i="2"/>
  <c r="K47" i="2"/>
  <c r="F47" i="2"/>
  <c r="D47" i="2"/>
  <c r="K46" i="2"/>
  <c r="F46" i="2"/>
  <c r="D46" i="2"/>
  <c r="K45" i="2"/>
  <c r="F45" i="2"/>
  <c r="D45" i="2"/>
  <c r="K44" i="2"/>
  <c r="F44" i="2"/>
  <c r="D44" i="2"/>
  <c r="K43" i="2"/>
  <c r="F43" i="2"/>
  <c r="D43" i="2"/>
  <c r="K42" i="2"/>
  <c r="F42" i="2"/>
  <c r="D42" i="2"/>
  <c r="K41" i="2"/>
  <c r="F41" i="2"/>
  <c r="D41" i="2"/>
  <c r="K40" i="2"/>
  <c r="F40" i="2"/>
  <c r="D40" i="2"/>
  <c r="K39" i="2"/>
  <c r="F39" i="2"/>
  <c r="D39" i="2"/>
  <c r="K38" i="2"/>
  <c r="F38" i="2"/>
  <c r="D38" i="2"/>
  <c r="K37" i="2"/>
  <c r="F37" i="2"/>
  <c r="D37" i="2"/>
  <c r="K36" i="2"/>
  <c r="F36" i="2"/>
  <c r="D36" i="2"/>
  <c r="K35" i="2"/>
  <c r="F35" i="2"/>
  <c r="D35" i="2"/>
  <c r="K34" i="2"/>
  <c r="F34" i="2"/>
  <c r="D34" i="2"/>
  <c r="K33" i="2"/>
  <c r="F33" i="2"/>
  <c r="D33" i="2"/>
  <c r="K32" i="2"/>
  <c r="F32" i="2"/>
  <c r="D32" i="2"/>
  <c r="K31" i="2"/>
  <c r="F31" i="2"/>
  <c r="D31" i="2"/>
  <c r="K30" i="2"/>
  <c r="F30" i="2"/>
  <c r="D30" i="2"/>
  <c r="K29" i="2"/>
  <c r="F29" i="2"/>
  <c r="D29" i="2"/>
  <c r="K28" i="2"/>
  <c r="F28" i="2"/>
  <c r="D28" i="2"/>
  <c r="K27" i="2"/>
  <c r="F27" i="2"/>
  <c r="D27" i="2"/>
  <c r="K26" i="2"/>
  <c r="F26" i="2"/>
  <c r="D26" i="2"/>
  <c r="K25" i="2"/>
  <c r="F25" i="2"/>
  <c r="D25" i="2"/>
  <c r="K24" i="2"/>
  <c r="F24" i="2"/>
  <c r="D24" i="2"/>
  <c r="K23" i="2"/>
  <c r="F23" i="2"/>
  <c r="D23" i="2"/>
  <c r="K22" i="2"/>
  <c r="F22" i="2"/>
  <c r="D22" i="2"/>
  <c r="K21" i="2"/>
  <c r="F21" i="2"/>
  <c r="D21" i="2"/>
  <c r="K20" i="2"/>
  <c r="F20" i="2"/>
  <c r="D20" i="2"/>
  <c r="K19" i="2"/>
  <c r="F19" i="2"/>
  <c r="D19" i="2"/>
  <c r="K18" i="2"/>
  <c r="F18" i="2"/>
  <c r="D18" i="2"/>
  <c r="K17" i="2"/>
  <c r="F17" i="2"/>
  <c r="D17" i="2"/>
  <c r="K16" i="2"/>
  <c r="F16" i="2"/>
  <c r="D16" i="2"/>
  <c r="K15" i="2"/>
  <c r="F15" i="2"/>
  <c r="D15" i="2"/>
  <c r="K14" i="2"/>
  <c r="F14" i="2"/>
  <c r="D14" i="2"/>
  <c r="K13" i="2"/>
  <c r="F13" i="2"/>
  <c r="D13" i="2"/>
  <c r="K12" i="2"/>
  <c r="F12" i="2"/>
  <c r="D12" i="2"/>
  <c r="K11" i="2"/>
  <c r="F11" i="2"/>
  <c r="D11" i="2"/>
  <c r="K10" i="2"/>
  <c r="F10" i="2"/>
  <c r="D10" i="2"/>
  <c r="K9" i="2"/>
  <c r="F9" i="2"/>
  <c r="D9" i="2"/>
  <c r="K8" i="2"/>
  <c r="F8" i="2"/>
  <c r="D8" i="2"/>
  <c r="K7" i="2"/>
  <c r="F7" i="2"/>
  <c r="D7" i="2"/>
  <c r="K6" i="2"/>
  <c r="F6" i="2"/>
  <c r="D6" i="2"/>
  <c r="K5" i="2"/>
  <c r="F5" i="2"/>
  <c r="D5" i="2"/>
  <c r="K4" i="2"/>
  <c r="F4" i="2"/>
  <c r="D4" i="2"/>
  <c r="K3" i="2"/>
  <c r="F3" i="2"/>
  <c r="D3" i="2"/>
  <c r="K2" i="2"/>
  <c r="F2" i="2"/>
  <c r="D2" i="2"/>
  <c r="C7" i="1"/>
  <c r="C6" i="1"/>
  <c r="B6" i="1"/>
  <c r="C5" i="1"/>
  <c r="B5" i="1"/>
  <c r="C4" i="1"/>
  <c r="B4" i="1"/>
  <c r="B7" i="1" s="1"/>
</calcChain>
</file>

<file path=xl/sharedStrings.xml><?xml version="1.0" encoding="utf-8"?>
<sst xmlns="http://schemas.openxmlformats.org/spreadsheetml/2006/main" count="266" uniqueCount="21">
  <si>
    <t>Courier Billing Reconciliation - Summary</t>
  </si>
  <si>
    <t>Count</t>
  </si>
  <si>
    <t>Amount (Rs.)</t>
  </si>
  <si>
    <t>Total orders where X has been correctly charged</t>
  </si>
  <si>
    <t>Total Orders where X has been overcharged</t>
  </si>
  <si>
    <t>Total Orders where X has been undercharged</t>
  </si>
  <si>
    <t>Total Orders</t>
  </si>
  <si>
    <t>Order ID</t>
  </si>
  <si>
    <t>AWB Number</t>
  </si>
  <si>
    <t>Total weight as per X (KG)</t>
  </si>
  <si>
    <t>Weight slab as per X (KG)</t>
  </si>
  <si>
    <t>Total weight as per Courier Company (KG)</t>
  </si>
  <si>
    <t>Weight slab charged by Courier Company (KG)</t>
  </si>
  <si>
    <t>Delivery Zone as per X</t>
  </si>
  <si>
    <t>Delivery Zone charged by Courier Company</t>
  </si>
  <si>
    <t>Expected Charge as per X (Rs.)</t>
  </si>
  <si>
    <t>Charges Billed by Courier Company (Rs.)</t>
  </si>
  <si>
    <t>Difference Between Expected Charges and Billed Charges (Rs.)</t>
  </si>
  <si>
    <t>d</t>
  </si>
  <si>
    <t>b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</si>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</sst>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4" fontId="3" fillId="0" borderId="1" xfId="0" applyNumberFormat="1" applyFont="1" applyBorder="1"/>
    <xf numFmtId="0" fontId="4" fillId="0" borderId="1" xfId="0" applyFont="1" applyBorder="1"/>
    <xf numFmtId="4" fontId="4" fillId="0" borderId="1" xfId="0" applyNumberFormat="1" applyFont="1" applyBorder="1"/>
    <xf numFmtId="1" fontId="3" fillId="0" borderId="1" xfId="0" applyNumberFormat="1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5"/>
  <sheetViews>
    <sheetView tabSelected="1" topLeftCell="F1" zoomScaleNormal="100" workbookViewId="0">
      <pane ySplit="1" topLeftCell="A2" activePane="bottomLeft" state="frozen"/>
      <selection pane="bottomLeft" activeCell="K7" sqref="K7"/>
    </sheetView>
  </sheetViews>
  <sheetFormatPr defaultColWidth="8.7109375" defaultRowHeight="15" x14ac:dyDescent="0.25"/>
  <cols>
    <col min="1" max="1" width="12" customWidth="1"/>
    <col min="2" max="2" width="14" customWidth="1"/>
    <col min="3" max="3" width="20" customWidth="1"/>
    <col min="4" max="4" width="18" customWidth="1"/>
    <col min="5" max="5" width="24" customWidth="1"/>
    <col min="6" max="6" width="26" customWidth="1"/>
    <col min="7" max="7" width="16" customWidth="1"/>
    <col min="8" max="8" width="24" customWidth="1"/>
    <col min="9" max="9" width="20" customWidth="1"/>
    <col min="10" max="10" width="22" customWidth="1"/>
    <col min="11" max="11" width="26" customWidth="1"/>
  </cols>
  <sheetData>
    <row r="1" spans="1:11" ht="30" customHeight="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5">
      <c r="A2" s="6">
        <v>2001806232</v>
      </c>
      <c r="B2" s="6">
        <v>1091117222124</v>
      </c>
      <c r="C2" s="2">
        <v>1.302</v>
      </c>
      <c r="D2" s="2">
        <f t="shared" ref="D2:D33" si="0">CEILING(C2,0.5)</f>
        <v>1.5</v>
      </c>
      <c r="E2" s="2">
        <v>1.3</v>
      </c>
      <c r="F2" s="2">
        <f t="shared" ref="F2:F33" si="1">CEILING(E2,0.5)</f>
        <v>1.5</v>
      </c>
      <c r="G2" s="2" t="s">
        <v>18</v>
      </c>
      <c r="H2" s="2" t="s">
        <v>18</v>
      </c>
      <c r="I2" s="3">
        <v>135</v>
      </c>
      <c r="J2" s="3">
        <v>135</v>
      </c>
      <c r="K2" s="3">
        <f t="shared" ref="K2:K33" si="2">ROUND(I2-J2,2)</f>
        <v>0</v>
      </c>
    </row>
    <row r="3" spans="1:11" x14ac:dyDescent="0.25">
      <c r="A3" s="6">
        <v>2001806273</v>
      </c>
      <c r="B3" s="6">
        <v>1091117222194</v>
      </c>
      <c r="C3" s="2">
        <v>0.61499999999999999</v>
      </c>
      <c r="D3" s="2">
        <f t="shared" si="0"/>
        <v>1</v>
      </c>
      <c r="E3" s="2">
        <v>1</v>
      </c>
      <c r="F3" s="2">
        <f t="shared" si="1"/>
        <v>1</v>
      </c>
      <c r="G3" s="2" t="s">
        <v>18</v>
      </c>
      <c r="H3" s="2" t="s">
        <v>18</v>
      </c>
      <c r="I3" s="3">
        <v>90.2</v>
      </c>
      <c r="J3" s="3">
        <v>90.2</v>
      </c>
      <c r="K3" s="3">
        <f t="shared" si="2"/>
        <v>0</v>
      </c>
    </row>
    <row r="4" spans="1:11" x14ac:dyDescent="0.25">
      <c r="A4" s="6">
        <v>2001806408</v>
      </c>
      <c r="B4" s="6">
        <v>1091117222931</v>
      </c>
      <c r="C4" s="2">
        <v>2.2650000000000001</v>
      </c>
      <c r="D4" s="2">
        <f t="shared" si="0"/>
        <v>2.5</v>
      </c>
      <c r="E4" s="2">
        <v>2.5</v>
      </c>
      <c r="F4" s="2">
        <f t="shared" si="1"/>
        <v>2.5</v>
      </c>
      <c r="G4" s="2" t="s">
        <v>18</v>
      </c>
      <c r="H4" s="2" t="s">
        <v>18</v>
      </c>
      <c r="I4" s="3">
        <v>224.6</v>
      </c>
      <c r="J4" s="3">
        <v>224.6</v>
      </c>
      <c r="K4" s="3">
        <f t="shared" si="2"/>
        <v>0</v>
      </c>
    </row>
    <row r="5" spans="1:11" x14ac:dyDescent="0.25">
      <c r="A5" s="6">
        <v>2001806458</v>
      </c>
      <c r="B5" s="6">
        <v>1091117223244</v>
      </c>
      <c r="C5" s="2">
        <v>0.7</v>
      </c>
      <c r="D5" s="2">
        <f t="shared" si="0"/>
        <v>1</v>
      </c>
      <c r="E5" s="2">
        <v>1</v>
      </c>
      <c r="F5" s="2">
        <f t="shared" si="1"/>
        <v>1</v>
      </c>
      <c r="G5" s="2" t="s">
        <v>19</v>
      </c>
      <c r="H5" s="2" t="s">
        <v>19</v>
      </c>
      <c r="I5" s="3">
        <v>61.3</v>
      </c>
      <c r="J5" s="3">
        <v>61.3</v>
      </c>
      <c r="K5" s="3">
        <f t="shared" si="2"/>
        <v>0</v>
      </c>
    </row>
    <row r="6" spans="1:11" x14ac:dyDescent="0.25">
      <c r="A6" s="6">
        <v>2001807012</v>
      </c>
      <c r="B6" s="6">
        <v>1091117229345</v>
      </c>
      <c r="C6" s="2">
        <v>0.24</v>
      </c>
      <c r="D6" s="2">
        <f t="shared" si="0"/>
        <v>0.5</v>
      </c>
      <c r="E6" s="2">
        <v>0.15</v>
      </c>
      <c r="F6" s="2">
        <f t="shared" si="1"/>
        <v>0.5</v>
      </c>
      <c r="G6" s="2" t="s">
        <v>18</v>
      </c>
      <c r="H6" s="2" t="s">
        <v>18</v>
      </c>
      <c r="I6" s="3">
        <v>45.4</v>
      </c>
      <c r="J6" s="3">
        <v>45.4</v>
      </c>
      <c r="K6" s="3">
        <f t="shared" si="2"/>
        <v>0</v>
      </c>
    </row>
    <row r="7" spans="1:11" x14ac:dyDescent="0.25">
      <c r="A7" s="6">
        <v>2001806686</v>
      </c>
      <c r="B7" s="6">
        <v>1091117229555</v>
      </c>
      <c r="C7" s="2">
        <v>0.24</v>
      </c>
      <c r="D7" s="2">
        <f t="shared" si="0"/>
        <v>0.5</v>
      </c>
      <c r="E7" s="2">
        <v>0.15</v>
      </c>
      <c r="F7" s="2">
        <f t="shared" si="1"/>
        <v>0.5</v>
      </c>
      <c r="G7" s="2" t="s">
        <v>18</v>
      </c>
      <c r="H7" s="2" t="s">
        <v>18</v>
      </c>
      <c r="I7" s="3">
        <v>45.4</v>
      </c>
      <c r="J7" s="3">
        <v>45.4</v>
      </c>
      <c r="K7" s="3">
        <f t="shared" si="2"/>
        <v>0</v>
      </c>
    </row>
    <row r="8" spans="1:11" x14ac:dyDescent="0.25">
      <c r="A8" s="6">
        <v>2001806885</v>
      </c>
      <c r="B8" s="6">
        <v>1091117229776</v>
      </c>
      <c r="C8" s="2">
        <v>0.84</v>
      </c>
      <c r="D8" s="2">
        <f t="shared" si="0"/>
        <v>1</v>
      </c>
      <c r="E8" s="2">
        <v>1</v>
      </c>
      <c r="F8" s="2">
        <f t="shared" si="1"/>
        <v>1</v>
      </c>
      <c r="G8" s="2" t="s">
        <v>19</v>
      </c>
      <c r="H8" s="2" t="s">
        <v>19</v>
      </c>
      <c r="I8" s="3">
        <v>61.3</v>
      </c>
      <c r="J8" s="3">
        <v>61.3</v>
      </c>
      <c r="K8" s="3">
        <f t="shared" si="2"/>
        <v>0</v>
      </c>
    </row>
    <row r="9" spans="1:11" x14ac:dyDescent="0.25">
      <c r="A9" s="6">
        <v>2001807058</v>
      </c>
      <c r="B9" s="6">
        <v>1091117323112</v>
      </c>
      <c r="C9" s="2">
        <v>1.1679999999999999</v>
      </c>
      <c r="D9" s="2">
        <f t="shared" si="0"/>
        <v>1.5</v>
      </c>
      <c r="E9" s="2">
        <v>1.1499999999999999</v>
      </c>
      <c r="F9" s="2">
        <f t="shared" si="1"/>
        <v>1.5</v>
      </c>
      <c r="G9" s="2" t="s">
        <v>19</v>
      </c>
      <c r="H9" s="2" t="s">
        <v>19</v>
      </c>
      <c r="I9" s="3">
        <v>89.6</v>
      </c>
      <c r="J9" s="3">
        <v>89.6</v>
      </c>
      <c r="K9" s="3">
        <f t="shared" si="2"/>
        <v>0</v>
      </c>
    </row>
    <row r="10" spans="1:11" x14ac:dyDescent="0.25">
      <c r="A10" s="6">
        <v>2001807186</v>
      </c>
      <c r="B10" s="6">
        <v>1091117323812</v>
      </c>
      <c r="C10" s="2">
        <v>0.5</v>
      </c>
      <c r="D10" s="2">
        <f t="shared" si="0"/>
        <v>0.5</v>
      </c>
      <c r="E10" s="2">
        <v>0.5</v>
      </c>
      <c r="F10" s="2">
        <f t="shared" si="1"/>
        <v>0.5</v>
      </c>
      <c r="G10" s="2" t="s">
        <v>18</v>
      </c>
      <c r="H10" s="2" t="s">
        <v>18</v>
      </c>
      <c r="I10" s="3">
        <v>45.4</v>
      </c>
      <c r="J10" s="3">
        <v>45.4</v>
      </c>
      <c r="K10" s="3">
        <f t="shared" si="2"/>
        <v>0</v>
      </c>
    </row>
    <row r="11" spans="1:11" x14ac:dyDescent="0.25">
      <c r="A11" s="6">
        <v>2001807290</v>
      </c>
      <c r="B11" s="6">
        <v>1091117324206</v>
      </c>
      <c r="C11" s="2">
        <v>0.5</v>
      </c>
      <c r="D11" s="2">
        <f t="shared" si="0"/>
        <v>0.5</v>
      </c>
      <c r="E11" s="2">
        <v>0.5</v>
      </c>
      <c r="F11" s="2">
        <f t="shared" si="1"/>
        <v>0.5</v>
      </c>
      <c r="G11" s="2" t="s">
        <v>18</v>
      </c>
      <c r="H11" s="2" t="s">
        <v>18</v>
      </c>
      <c r="I11" s="3">
        <v>45.4</v>
      </c>
      <c r="J11" s="3">
        <v>45.4</v>
      </c>
      <c r="K11" s="3">
        <f t="shared" si="2"/>
        <v>0</v>
      </c>
    </row>
    <row r="12" spans="1:11" x14ac:dyDescent="0.25">
      <c r="A12" s="6">
        <v>2001807814</v>
      </c>
      <c r="B12" s="6">
        <v>1091117326612</v>
      </c>
      <c r="C12" s="2">
        <v>0.60699999999999998</v>
      </c>
      <c r="D12" s="2">
        <f t="shared" si="0"/>
        <v>1</v>
      </c>
      <c r="E12" s="2">
        <v>0.79</v>
      </c>
      <c r="F12" s="2">
        <f t="shared" si="1"/>
        <v>1</v>
      </c>
      <c r="G12" s="2" t="s">
        <v>19</v>
      </c>
      <c r="H12" s="2" t="s">
        <v>19</v>
      </c>
      <c r="I12" s="3">
        <v>61.3</v>
      </c>
      <c r="J12" s="3">
        <v>61.3</v>
      </c>
      <c r="K12" s="3">
        <f t="shared" si="2"/>
        <v>0</v>
      </c>
    </row>
    <row r="13" spans="1:11" x14ac:dyDescent="0.25">
      <c r="A13" s="6">
        <v>2001807931</v>
      </c>
      <c r="B13" s="6">
        <v>1091117327172</v>
      </c>
      <c r="C13" s="2">
        <v>0.60699999999999998</v>
      </c>
      <c r="D13" s="2">
        <f t="shared" si="0"/>
        <v>1</v>
      </c>
      <c r="E13" s="2">
        <v>0.72</v>
      </c>
      <c r="F13" s="2">
        <f t="shared" si="1"/>
        <v>1</v>
      </c>
      <c r="G13" s="2" t="s">
        <v>18</v>
      </c>
      <c r="H13" s="2" t="s">
        <v>18</v>
      </c>
      <c r="I13" s="3">
        <v>90.2</v>
      </c>
      <c r="J13" s="3">
        <v>90.2</v>
      </c>
      <c r="K13" s="3">
        <f t="shared" si="2"/>
        <v>0</v>
      </c>
    </row>
    <row r="14" spans="1:11" x14ac:dyDescent="0.25">
      <c r="A14" s="6">
        <v>2001807956</v>
      </c>
      <c r="B14" s="6">
        <v>1091117327275</v>
      </c>
      <c r="C14" s="2">
        <v>1.08</v>
      </c>
      <c r="D14" s="2">
        <f t="shared" si="0"/>
        <v>1.5</v>
      </c>
      <c r="E14" s="2">
        <v>1.08</v>
      </c>
      <c r="F14" s="2">
        <f t="shared" si="1"/>
        <v>1.5</v>
      </c>
      <c r="G14" s="2" t="s">
        <v>19</v>
      </c>
      <c r="H14" s="2" t="s">
        <v>19</v>
      </c>
      <c r="I14" s="3">
        <v>89.6</v>
      </c>
      <c r="J14" s="3">
        <v>89.6</v>
      </c>
      <c r="K14" s="3">
        <f t="shared" si="2"/>
        <v>0</v>
      </c>
    </row>
    <row r="15" spans="1:11" x14ac:dyDescent="0.25">
      <c r="A15" s="6">
        <v>2001807960</v>
      </c>
      <c r="B15" s="6">
        <v>1091117327312</v>
      </c>
      <c r="C15" s="2">
        <v>0.93</v>
      </c>
      <c r="D15" s="2">
        <f t="shared" si="0"/>
        <v>1</v>
      </c>
      <c r="E15" s="2">
        <v>1</v>
      </c>
      <c r="F15" s="2">
        <f t="shared" si="1"/>
        <v>1</v>
      </c>
      <c r="G15" s="2" t="s">
        <v>18</v>
      </c>
      <c r="H15" s="2" t="s">
        <v>18</v>
      </c>
      <c r="I15" s="3">
        <v>90.2</v>
      </c>
      <c r="J15" s="3">
        <v>90.2</v>
      </c>
      <c r="K15" s="3">
        <f t="shared" si="2"/>
        <v>0</v>
      </c>
    </row>
    <row r="16" spans="1:11" x14ac:dyDescent="0.25">
      <c r="A16" s="6">
        <v>2001807930</v>
      </c>
      <c r="B16" s="6">
        <v>1091117327695</v>
      </c>
      <c r="C16" s="2">
        <v>0.24</v>
      </c>
      <c r="D16" s="2">
        <f t="shared" si="0"/>
        <v>0.5</v>
      </c>
      <c r="E16" s="2">
        <v>0.15</v>
      </c>
      <c r="F16" s="2">
        <f t="shared" si="1"/>
        <v>0.5</v>
      </c>
      <c r="G16" s="2" t="s">
        <v>18</v>
      </c>
      <c r="H16" s="2" t="s">
        <v>18</v>
      </c>
      <c r="I16" s="3">
        <v>45.4</v>
      </c>
      <c r="J16" s="3">
        <v>45.4</v>
      </c>
      <c r="K16" s="3">
        <f t="shared" si="2"/>
        <v>0</v>
      </c>
    </row>
    <row r="17" spans="1:11" x14ac:dyDescent="0.25">
      <c r="A17" s="6">
        <v>2001808102</v>
      </c>
      <c r="B17" s="6">
        <v>1091117435005</v>
      </c>
      <c r="C17" s="2">
        <v>1.157</v>
      </c>
      <c r="D17" s="2">
        <f t="shared" si="0"/>
        <v>1.5</v>
      </c>
      <c r="E17" s="2">
        <v>1.28</v>
      </c>
      <c r="F17" s="2">
        <f t="shared" si="1"/>
        <v>1.5</v>
      </c>
      <c r="G17" s="2" t="s">
        <v>18</v>
      </c>
      <c r="H17" s="2" t="s">
        <v>18</v>
      </c>
      <c r="I17" s="3">
        <v>135</v>
      </c>
      <c r="J17" s="3">
        <v>135</v>
      </c>
      <c r="K17" s="3">
        <f t="shared" si="2"/>
        <v>0</v>
      </c>
    </row>
    <row r="18" spans="1:11" x14ac:dyDescent="0.25">
      <c r="A18" s="6">
        <v>2001808118</v>
      </c>
      <c r="B18" s="6">
        <v>1091117435134</v>
      </c>
      <c r="C18" s="2">
        <v>0.34300000000000003</v>
      </c>
      <c r="D18" s="2">
        <f t="shared" si="0"/>
        <v>0.5</v>
      </c>
      <c r="E18" s="2">
        <v>0.5</v>
      </c>
      <c r="F18" s="2">
        <f t="shared" si="1"/>
        <v>0.5</v>
      </c>
      <c r="G18" s="2" t="s">
        <v>19</v>
      </c>
      <c r="H18" s="2" t="s">
        <v>19</v>
      </c>
      <c r="I18" s="3">
        <v>33</v>
      </c>
      <c r="J18" s="3">
        <v>33</v>
      </c>
      <c r="K18" s="3">
        <f t="shared" si="2"/>
        <v>0</v>
      </c>
    </row>
    <row r="19" spans="1:11" x14ac:dyDescent="0.25">
      <c r="A19" s="6">
        <v>2001808207</v>
      </c>
      <c r="B19" s="6">
        <v>1091117435370</v>
      </c>
      <c r="C19" s="2">
        <v>0.60699999999999998</v>
      </c>
      <c r="D19" s="2">
        <f t="shared" si="0"/>
        <v>1</v>
      </c>
      <c r="E19" s="2">
        <v>0.79</v>
      </c>
      <c r="F19" s="2">
        <f t="shared" si="1"/>
        <v>1</v>
      </c>
      <c r="G19" s="2" t="s">
        <v>18</v>
      </c>
      <c r="H19" s="2" t="s">
        <v>18</v>
      </c>
      <c r="I19" s="3">
        <v>90.2</v>
      </c>
      <c r="J19" s="3">
        <v>90.2</v>
      </c>
      <c r="K19" s="3">
        <f t="shared" si="2"/>
        <v>0</v>
      </c>
    </row>
    <row r="20" spans="1:11" x14ac:dyDescent="0.25">
      <c r="A20" s="6">
        <v>2001808295</v>
      </c>
      <c r="B20" s="6">
        <v>1091117435661</v>
      </c>
      <c r="C20" s="2">
        <v>0.245</v>
      </c>
      <c r="D20" s="2">
        <f t="shared" si="0"/>
        <v>0.5</v>
      </c>
      <c r="E20" s="2">
        <v>0.2</v>
      </c>
      <c r="F20" s="2">
        <f t="shared" si="1"/>
        <v>0.5</v>
      </c>
      <c r="G20" s="2" t="s">
        <v>20</v>
      </c>
      <c r="H20" s="2" t="s">
        <v>20</v>
      </c>
      <c r="I20" s="3">
        <v>107.3</v>
      </c>
      <c r="J20" s="3">
        <v>107.3</v>
      </c>
      <c r="K20" s="3">
        <f t="shared" si="2"/>
        <v>0</v>
      </c>
    </row>
    <row r="21" spans="1:11" x14ac:dyDescent="0.25">
      <c r="A21" s="6">
        <v>2001808507</v>
      </c>
      <c r="B21" s="6">
        <v>1091117436383</v>
      </c>
      <c r="C21" s="2">
        <v>0.60699999999999998</v>
      </c>
      <c r="D21" s="2">
        <f t="shared" si="0"/>
        <v>1</v>
      </c>
      <c r="E21" s="2">
        <v>0.79</v>
      </c>
      <c r="F21" s="2">
        <f t="shared" si="1"/>
        <v>1</v>
      </c>
      <c r="G21" s="2" t="s">
        <v>19</v>
      </c>
      <c r="H21" s="2" t="s">
        <v>19</v>
      </c>
      <c r="I21" s="3">
        <v>61.3</v>
      </c>
      <c r="J21" s="3">
        <v>61.3</v>
      </c>
      <c r="K21" s="3">
        <f t="shared" si="2"/>
        <v>0</v>
      </c>
    </row>
    <row r="22" spans="1:11" x14ac:dyDescent="0.25">
      <c r="A22" s="6">
        <v>2001808542</v>
      </c>
      <c r="B22" s="6">
        <v>1091117436464</v>
      </c>
      <c r="C22" s="2">
        <v>0.73399999999999999</v>
      </c>
      <c r="D22" s="2">
        <f t="shared" si="0"/>
        <v>1</v>
      </c>
      <c r="E22" s="2">
        <v>0.86</v>
      </c>
      <c r="F22" s="2">
        <f t="shared" si="1"/>
        <v>1</v>
      </c>
      <c r="G22" s="2" t="s">
        <v>18</v>
      </c>
      <c r="H22" s="2" t="s">
        <v>18</v>
      </c>
      <c r="I22" s="3">
        <v>90.2</v>
      </c>
      <c r="J22" s="3">
        <v>90.2</v>
      </c>
      <c r="K22" s="3">
        <f t="shared" si="2"/>
        <v>0</v>
      </c>
    </row>
    <row r="23" spans="1:11" x14ac:dyDescent="0.25">
      <c r="A23" s="6">
        <v>2001808675</v>
      </c>
      <c r="B23" s="6">
        <v>1091117437050</v>
      </c>
      <c r="C23" s="2">
        <v>1.1830000000000001</v>
      </c>
      <c r="D23" s="2">
        <f t="shared" si="0"/>
        <v>1.5</v>
      </c>
      <c r="E23" s="2">
        <v>1.2</v>
      </c>
      <c r="F23" s="2">
        <f t="shared" si="1"/>
        <v>1.5</v>
      </c>
      <c r="G23" s="2" t="s">
        <v>19</v>
      </c>
      <c r="H23" s="2" t="s">
        <v>19</v>
      </c>
      <c r="I23" s="3">
        <v>89.6</v>
      </c>
      <c r="J23" s="3">
        <v>89.6</v>
      </c>
      <c r="K23" s="3">
        <f t="shared" si="2"/>
        <v>0</v>
      </c>
    </row>
    <row r="24" spans="1:11" x14ac:dyDescent="0.25">
      <c r="A24" s="6">
        <v>2001807976</v>
      </c>
      <c r="B24" s="6">
        <v>1091117327496</v>
      </c>
      <c r="C24" s="2">
        <v>0.72099999999999997</v>
      </c>
      <c r="D24" s="2">
        <f t="shared" si="0"/>
        <v>1</v>
      </c>
      <c r="E24" s="2">
        <v>0.7</v>
      </c>
      <c r="F24" s="2">
        <f t="shared" si="1"/>
        <v>1</v>
      </c>
      <c r="G24" s="2" t="s">
        <v>18</v>
      </c>
      <c r="H24" s="2" t="s">
        <v>18</v>
      </c>
      <c r="I24" s="3">
        <v>176.3</v>
      </c>
      <c r="J24" s="3">
        <v>172.8</v>
      </c>
      <c r="K24" s="3">
        <f t="shared" si="2"/>
        <v>3.5</v>
      </c>
    </row>
    <row r="25" spans="1:11" x14ac:dyDescent="0.25">
      <c r="A25" s="6">
        <v>2001812838</v>
      </c>
      <c r="B25" s="6">
        <v>1091118547832</v>
      </c>
      <c r="C25" s="2">
        <v>0.55800000000000005</v>
      </c>
      <c r="D25" s="2">
        <f t="shared" si="0"/>
        <v>1</v>
      </c>
      <c r="E25" s="2">
        <v>0.6</v>
      </c>
      <c r="F25" s="2">
        <f t="shared" si="1"/>
        <v>1</v>
      </c>
      <c r="G25" s="2" t="s">
        <v>19</v>
      </c>
      <c r="H25" s="2" t="s">
        <v>19</v>
      </c>
      <c r="I25" s="3">
        <v>110.1</v>
      </c>
      <c r="J25" s="3">
        <v>102.3</v>
      </c>
      <c r="K25" s="3">
        <f t="shared" si="2"/>
        <v>7.8</v>
      </c>
    </row>
    <row r="26" spans="1:11" x14ac:dyDescent="0.25">
      <c r="A26" s="6">
        <v>2001816684</v>
      </c>
      <c r="B26" s="6">
        <v>1091119398844</v>
      </c>
      <c r="C26" s="2">
        <v>0.92</v>
      </c>
      <c r="D26" s="2">
        <f t="shared" si="0"/>
        <v>1</v>
      </c>
      <c r="E26" s="2">
        <v>0.99</v>
      </c>
      <c r="F26" s="2">
        <f t="shared" si="1"/>
        <v>1</v>
      </c>
      <c r="G26" s="2" t="s">
        <v>18</v>
      </c>
      <c r="H26" s="2" t="s">
        <v>18</v>
      </c>
      <c r="I26" s="3">
        <v>176.3</v>
      </c>
      <c r="J26" s="3">
        <v>172.8</v>
      </c>
      <c r="K26" s="3">
        <f t="shared" si="2"/>
        <v>3.5</v>
      </c>
    </row>
    <row r="27" spans="1:11" x14ac:dyDescent="0.25">
      <c r="A27" s="6">
        <v>2001817160</v>
      </c>
      <c r="B27" s="6">
        <v>1091119630264</v>
      </c>
      <c r="C27" s="2">
        <v>0.7</v>
      </c>
      <c r="D27" s="2">
        <f t="shared" si="0"/>
        <v>1</v>
      </c>
      <c r="E27" s="2">
        <v>0.7</v>
      </c>
      <c r="F27" s="2">
        <f t="shared" si="1"/>
        <v>1</v>
      </c>
      <c r="G27" s="2" t="s">
        <v>18</v>
      </c>
      <c r="H27" s="2" t="s">
        <v>18</v>
      </c>
      <c r="I27" s="3">
        <v>176.3</v>
      </c>
      <c r="J27" s="3">
        <v>172.8</v>
      </c>
      <c r="K27" s="3">
        <f t="shared" si="2"/>
        <v>3.5</v>
      </c>
    </row>
    <row r="28" spans="1:11" x14ac:dyDescent="0.25">
      <c r="A28" s="6">
        <v>2001818390</v>
      </c>
      <c r="B28" s="6">
        <v>1091120014461</v>
      </c>
      <c r="C28" s="2">
        <v>0.84099999999999997</v>
      </c>
      <c r="D28" s="2">
        <f t="shared" si="0"/>
        <v>1</v>
      </c>
      <c r="E28" s="2">
        <v>0.8</v>
      </c>
      <c r="F28" s="2">
        <f t="shared" si="1"/>
        <v>1</v>
      </c>
      <c r="G28" s="2" t="s">
        <v>20</v>
      </c>
      <c r="H28" s="2" t="s">
        <v>20</v>
      </c>
      <c r="I28" s="3">
        <v>218.3</v>
      </c>
      <c r="J28" s="3">
        <v>213.5</v>
      </c>
      <c r="K28" s="3">
        <f t="shared" si="2"/>
        <v>4.8</v>
      </c>
    </row>
    <row r="29" spans="1:11" x14ac:dyDescent="0.25">
      <c r="A29" s="6">
        <v>2001821190</v>
      </c>
      <c r="B29" s="6">
        <v>1091120959015</v>
      </c>
      <c r="C29" s="2">
        <v>1.2</v>
      </c>
      <c r="D29" s="2">
        <f t="shared" si="0"/>
        <v>1.5</v>
      </c>
      <c r="E29" s="2">
        <v>1.2</v>
      </c>
      <c r="F29" s="2">
        <f t="shared" si="1"/>
        <v>1.5</v>
      </c>
      <c r="G29" s="2" t="s">
        <v>18</v>
      </c>
      <c r="H29" s="2" t="s">
        <v>18</v>
      </c>
      <c r="I29" s="3">
        <v>265.89999999999998</v>
      </c>
      <c r="J29" s="3">
        <v>258.89999999999998</v>
      </c>
      <c r="K29" s="3">
        <f t="shared" si="2"/>
        <v>7</v>
      </c>
    </row>
    <row r="30" spans="1:11" x14ac:dyDescent="0.25">
      <c r="A30" s="6">
        <v>2001817093</v>
      </c>
      <c r="B30" s="6">
        <v>1091121485824</v>
      </c>
      <c r="C30" s="2">
        <v>1.357</v>
      </c>
      <c r="D30" s="2">
        <f t="shared" si="0"/>
        <v>1.5</v>
      </c>
      <c r="E30" s="2">
        <v>1.3</v>
      </c>
      <c r="F30" s="2">
        <f t="shared" si="1"/>
        <v>1.5</v>
      </c>
      <c r="G30" s="2" t="s">
        <v>19</v>
      </c>
      <c r="H30" s="2" t="s">
        <v>19</v>
      </c>
      <c r="I30" s="3">
        <v>166.7</v>
      </c>
      <c r="J30" s="3">
        <v>151.1</v>
      </c>
      <c r="K30" s="3">
        <f t="shared" si="2"/>
        <v>15.6</v>
      </c>
    </row>
    <row r="31" spans="1:11" x14ac:dyDescent="0.25">
      <c r="A31" s="6">
        <v>2001823564</v>
      </c>
      <c r="B31" s="6">
        <v>1091121666133</v>
      </c>
      <c r="C31" s="2">
        <v>0.67200000000000004</v>
      </c>
      <c r="D31" s="2">
        <f t="shared" si="0"/>
        <v>1</v>
      </c>
      <c r="E31" s="2">
        <v>0.7</v>
      </c>
      <c r="F31" s="2">
        <f t="shared" si="1"/>
        <v>1</v>
      </c>
      <c r="G31" s="2" t="s">
        <v>18</v>
      </c>
      <c r="H31" s="2" t="s">
        <v>18</v>
      </c>
      <c r="I31" s="3">
        <v>176.3</v>
      </c>
      <c r="J31" s="3">
        <v>172.8</v>
      </c>
      <c r="K31" s="3">
        <f t="shared" si="2"/>
        <v>3.5</v>
      </c>
    </row>
    <row r="32" spans="1:11" x14ac:dyDescent="0.25">
      <c r="A32" s="6">
        <v>2001825261</v>
      </c>
      <c r="B32" s="6">
        <v>1091121981575</v>
      </c>
      <c r="C32" s="2">
        <v>1.5569999999999999</v>
      </c>
      <c r="D32" s="2">
        <f t="shared" si="0"/>
        <v>2</v>
      </c>
      <c r="E32" s="2">
        <v>1.6</v>
      </c>
      <c r="F32" s="2">
        <f t="shared" si="1"/>
        <v>2</v>
      </c>
      <c r="G32" s="2" t="s">
        <v>18</v>
      </c>
      <c r="H32" s="2" t="s">
        <v>18</v>
      </c>
      <c r="I32" s="3">
        <v>355.5</v>
      </c>
      <c r="J32" s="3">
        <v>345</v>
      </c>
      <c r="K32" s="3">
        <f t="shared" si="2"/>
        <v>10.5</v>
      </c>
    </row>
    <row r="33" spans="1:11" x14ac:dyDescent="0.25">
      <c r="A33" s="6">
        <v>2001811192</v>
      </c>
      <c r="B33" s="6">
        <v>1091117957780</v>
      </c>
      <c r="C33" s="2">
        <v>1.032</v>
      </c>
      <c r="D33" s="2">
        <f t="shared" si="0"/>
        <v>1.5</v>
      </c>
      <c r="E33" s="2">
        <v>1.1299999999999999</v>
      </c>
      <c r="F33" s="2">
        <f t="shared" si="1"/>
        <v>1.5</v>
      </c>
      <c r="G33" s="2" t="s">
        <v>18</v>
      </c>
      <c r="H33" s="2" t="s">
        <v>18</v>
      </c>
      <c r="I33" s="3">
        <v>265.89999999999998</v>
      </c>
      <c r="J33" s="3">
        <v>258.89999999999998</v>
      </c>
      <c r="K33" s="3">
        <f t="shared" si="2"/>
        <v>7</v>
      </c>
    </row>
    <row r="34" spans="1:11" x14ac:dyDescent="0.25">
      <c r="A34" s="6">
        <v>2001809917</v>
      </c>
      <c r="B34" s="6">
        <v>1091121482593</v>
      </c>
      <c r="C34" s="2">
        <v>0.63</v>
      </c>
      <c r="D34" s="2">
        <f t="shared" ref="D34:D65" si="3">CEILING(C34,0.5)</f>
        <v>1</v>
      </c>
      <c r="E34" s="2">
        <v>0.6</v>
      </c>
      <c r="F34" s="2">
        <f t="shared" ref="F34:F65" si="4">CEILING(E34,0.5)</f>
        <v>1</v>
      </c>
      <c r="G34" s="2" t="s">
        <v>18</v>
      </c>
      <c r="H34" s="2" t="s">
        <v>18</v>
      </c>
      <c r="I34" s="3">
        <v>176.3</v>
      </c>
      <c r="J34" s="3">
        <v>172.8</v>
      </c>
      <c r="K34" s="3">
        <f t="shared" ref="K34:K65" si="5">ROUND(I34-J34,2)</f>
        <v>3.5</v>
      </c>
    </row>
    <row r="35" spans="1:11" x14ac:dyDescent="0.25">
      <c r="A35" s="6">
        <v>2001806210</v>
      </c>
      <c r="B35" s="6">
        <v>1091117221940</v>
      </c>
      <c r="C35" s="2">
        <v>0.22</v>
      </c>
      <c r="D35" s="2">
        <f t="shared" si="3"/>
        <v>0.5</v>
      </c>
      <c r="E35" s="2">
        <v>2.92</v>
      </c>
      <c r="F35" s="2">
        <f t="shared" si="4"/>
        <v>3</v>
      </c>
      <c r="G35" s="2" t="s">
        <v>19</v>
      </c>
      <c r="H35" s="2" t="s">
        <v>19</v>
      </c>
      <c r="I35" s="3">
        <v>33</v>
      </c>
      <c r="J35" s="3">
        <v>174.5</v>
      </c>
      <c r="K35" s="3">
        <f t="shared" si="5"/>
        <v>-141.5</v>
      </c>
    </row>
    <row r="36" spans="1:11" x14ac:dyDescent="0.25">
      <c r="A36" s="6">
        <v>2001806226</v>
      </c>
      <c r="B36" s="6">
        <v>1091117222065</v>
      </c>
      <c r="C36" s="2">
        <v>0.48</v>
      </c>
      <c r="D36" s="2">
        <f t="shared" si="3"/>
        <v>0.5</v>
      </c>
      <c r="E36" s="2">
        <v>0.68</v>
      </c>
      <c r="F36" s="2">
        <f t="shared" si="4"/>
        <v>1</v>
      </c>
      <c r="G36" s="2" t="s">
        <v>18</v>
      </c>
      <c r="H36" s="2" t="s">
        <v>18</v>
      </c>
      <c r="I36" s="3">
        <v>45.4</v>
      </c>
      <c r="J36" s="3">
        <v>90.2</v>
      </c>
      <c r="K36" s="3">
        <f t="shared" si="5"/>
        <v>-44.8</v>
      </c>
    </row>
    <row r="37" spans="1:11" x14ac:dyDescent="0.25">
      <c r="A37" s="6">
        <v>2001806229</v>
      </c>
      <c r="B37" s="6">
        <v>1091117222080</v>
      </c>
      <c r="C37" s="2">
        <v>0.5</v>
      </c>
      <c r="D37" s="2">
        <f t="shared" si="3"/>
        <v>0.5</v>
      </c>
      <c r="E37" s="2">
        <v>0.71</v>
      </c>
      <c r="F37" s="2">
        <f t="shared" si="4"/>
        <v>1</v>
      </c>
      <c r="G37" s="2" t="s">
        <v>18</v>
      </c>
      <c r="H37" s="2" t="s">
        <v>18</v>
      </c>
      <c r="I37" s="3">
        <v>45.4</v>
      </c>
      <c r="J37" s="3">
        <v>90.2</v>
      </c>
      <c r="K37" s="3">
        <f t="shared" si="5"/>
        <v>-44.8</v>
      </c>
    </row>
    <row r="38" spans="1:11" x14ac:dyDescent="0.25">
      <c r="A38" s="6">
        <v>2001806233</v>
      </c>
      <c r="B38" s="6">
        <v>1091117222135</v>
      </c>
      <c r="C38" s="2">
        <v>0.245</v>
      </c>
      <c r="D38" s="2">
        <f t="shared" si="3"/>
        <v>0.5</v>
      </c>
      <c r="E38" s="2">
        <v>0.78</v>
      </c>
      <c r="F38" s="2">
        <f t="shared" si="4"/>
        <v>1</v>
      </c>
      <c r="G38" s="2" t="s">
        <v>19</v>
      </c>
      <c r="H38" s="2" t="s">
        <v>19</v>
      </c>
      <c r="I38" s="3">
        <v>33</v>
      </c>
      <c r="J38" s="3">
        <v>61.3</v>
      </c>
      <c r="K38" s="3">
        <f t="shared" si="5"/>
        <v>-28.3</v>
      </c>
    </row>
    <row r="39" spans="1:11" x14ac:dyDescent="0.25">
      <c r="A39" s="6">
        <v>2001806251</v>
      </c>
      <c r="B39" s="6">
        <v>1091117222146</v>
      </c>
      <c r="C39" s="2">
        <v>0.245</v>
      </c>
      <c r="D39" s="2">
        <f t="shared" si="3"/>
        <v>0.5</v>
      </c>
      <c r="E39" s="2">
        <v>1.27</v>
      </c>
      <c r="F39" s="2">
        <f t="shared" si="4"/>
        <v>1.5</v>
      </c>
      <c r="G39" s="2" t="s">
        <v>18</v>
      </c>
      <c r="H39" s="2" t="s">
        <v>18</v>
      </c>
      <c r="I39" s="3">
        <v>45.4</v>
      </c>
      <c r="J39" s="3">
        <v>135</v>
      </c>
      <c r="K39" s="3">
        <f t="shared" si="5"/>
        <v>-89.6</v>
      </c>
    </row>
    <row r="40" spans="1:11" x14ac:dyDescent="0.25">
      <c r="A40" s="6">
        <v>2001806338</v>
      </c>
      <c r="B40" s="6">
        <v>1091117222570</v>
      </c>
      <c r="C40" s="2">
        <v>0.5</v>
      </c>
      <c r="D40" s="2">
        <f t="shared" si="3"/>
        <v>0.5</v>
      </c>
      <c r="E40" s="2">
        <v>0.7</v>
      </c>
      <c r="F40" s="2">
        <f t="shared" si="4"/>
        <v>1</v>
      </c>
      <c r="G40" s="2" t="s">
        <v>18</v>
      </c>
      <c r="H40" s="2" t="s">
        <v>18</v>
      </c>
      <c r="I40" s="3">
        <v>45.4</v>
      </c>
      <c r="J40" s="3">
        <v>90.2</v>
      </c>
      <c r="K40" s="3">
        <f t="shared" si="5"/>
        <v>-44.8</v>
      </c>
    </row>
    <row r="41" spans="1:11" x14ac:dyDescent="0.25">
      <c r="A41" s="6">
        <v>2001806446</v>
      </c>
      <c r="B41" s="6">
        <v>1091117223211</v>
      </c>
      <c r="C41" s="2">
        <v>0.5</v>
      </c>
      <c r="D41" s="2">
        <f t="shared" si="3"/>
        <v>0.5</v>
      </c>
      <c r="E41" s="2">
        <v>0.69</v>
      </c>
      <c r="F41" s="2">
        <f t="shared" si="4"/>
        <v>1</v>
      </c>
      <c r="G41" s="2" t="s">
        <v>18</v>
      </c>
      <c r="H41" s="2" t="s">
        <v>18</v>
      </c>
      <c r="I41" s="3">
        <v>45.4</v>
      </c>
      <c r="J41" s="3">
        <v>90.2</v>
      </c>
      <c r="K41" s="3">
        <f t="shared" si="5"/>
        <v>-44.8</v>
      </c>
    </row>
    <row r="42" spans="1:11" x14ac:dyDescent="0.25">
      <c r="A42" s="6">
        <v>2001806533</v>
      </c>
      <c r="B42" s="6">
        <v>1091117224353</v>
      </c>
      <c r="C42" s="2">
        <v>0.5</v>
      </c>
      <c r="D42" s="2">
        <f t="shared" si="3"/>
        <v>0.5</v>
      </c>
      <c r="E42" s="2">
        <v>0.68</v>
      </c>
      <c r="F42" s="2">
        <f t="shared" si="4"/>
        <v>1</v>
      </c>
      <c r="G42" s="2" t="s">
        <v>18</v>
      </c>
      <c r="H42" s="2" t="s">
        <v>18</v>
      </c>
      <c r="I42" s="3">
        <v>45.4</v>
      </c>
      <c r="J42" s="3">
        <v>90.2</v>
      </c>
      <c r="K42" s="3">
        <f t="shared" si="5"/>
        <v>-44.8</v>
      </c>
    </row>
    <row r="43" spans="1:11" x14ac:dyDescent="0.25">
      <c r="A43" s="6">
        <v>2001806547</v>
      </c>
      <c r="B43" s="6">
        <v>1091117224611</v>
      </c>
      <c r="C43" s="2">
        <v>0.127</v>
      </c>
      <c r="D43" s="2">
        <f t="shared" si="3"/>
        <v>0.5</v>
      </c>
      <c r="E43" s="2">
        <v>1</v>
      </c>
      <c r="F43" s="2">
        <f t="shared" si="4"/>
        <v>1</v>
      </c>
      <c r="G43" s="2" t="s">
        <v>19</v>
      </c>
      <c r="H43" s="2" t="s">
        <v>19</v>
      </c>
      <c r="I43" s="3">
        <v>33</v>
      </c>
      <c r="J43" s="3">
        <v>61.3</v>
      </c>
      <c r="K43" s="3">
        <f t="shared" si="5"/>
        <v>-28.3</v>
      </c>
    </row>
    <row r="44" spans="1:11" x14ac:dyDescent="0.25">
      <c r="A44" s="6">
        <v>2001806567</v>
      </c>
      <c r="B44" s="6">
        <v>1091117224902</v>
      </c>
      <c r="C44" s="2">
        <v>0.95199999999999996</v>
      </c>
      <c r="D44" s="2">
        <f t="shared" si="3"/>
        <v>1</v>
      </c>
      <c r="E44" s="2">
        <v>1.1599999999999999</v>
      </c>
      <c r="F44" s="2">
        <f t="shared" si="4"/>
        <v>1.5</v>
      </c>
      <c r="G44" s="2" t="s">
        <v>18</v>
      </c>
      <c r="H44" s="2" t="s">
        <v>18</v>
      </c>
      <c r="I44" s="3">
        <v>90.2</v>
      </c>
      <c r="J44" s="3">
        <v>135</v>
      </c>
      <c r="K44" s="3">
        <f t="shared" si="5"/>
        <v>-44.8</v>
      </c>
    </row>
    <row r="45" spans="1:11" x14ac:dyDescent="0.25">
      <c r="A45" s="6">
        <v>2001806575</v>
      </c>
      <c r="B45" s="6">
        <v>1091117225016</v>
      </c>
      <c r="C45" s="2">
        <v>0.5</v>
      </c>
      <c r="D45" s="2">
        <f t="shared" si="3"/>
        <v>0.5</v>
      </c>
      <c r="E45" s="2">
        <v>0.68</v>
      </c>
      <c r="F45" s="2">
        <f t="shared" si="4"/>
        <v>1</v>
      </c>
      <c r="G45" s="2" t="s">
        <v>19</v>
      </c>
      <c r="H45" s="2" t="s">
        <v>19</v>
      </c>
      <c r="I45" s="3">
        <v>33</v>
      </c>
      <c r="J45" s="3">
        <v>61.3</v>
      </c>
      <c r="K45" s="3">
        <f t="shared" si="5"/>
        <v>-28.3</v>
      </c>
    </row>
    <row r="46" spans="1:11" x14ac:dyDescent="0.25">
      <c r="A46" s="6">
        <v>2001806616</v>
      </c>
      <c r="B46" s="6">
        <v>1091117225484</v>
      </c>
      <c r="C46" s="2">
        <v>0.96299999999999997</v>
      </c>
      <c r="D46" s="2">
        <f t="shared" si="3"/>
        <v>1</v>
      </c>
      <c r="E46" s="2">
        <v>1.08</v>
      </c>
      <c r="F46" s="2">
        <f t="shared" si="4"/>
        <v>1.5</v>
      </c>
      <c r="G46" s="2" t="s">
        <v>19</v>
      </c>
      <c r="H46" s="2" t="s">
        <v>19</v>
      </c>
      <c r="I46" s="3">
        <v>61.3</v>
      </c>
      <c r="J46" s="3">
        <v>89.6</v>
      </c>
      <c r="K46" s="3">
        <f t="shared" si="5"/>
        <v>-28.3</v>
      </c>
    </row>
    <row r="47" spans="1:11" x14ac:dyDescent="0.25">
      <c r="A47" s="6">
        <v>2001806652</v>
      </c>
      <c r="B47" s="6">
        <v>1091117226221</v>
      </c>
      <c r="C47" s="2">
        <v>0.5</v>
      </c>
      <c r="D47" s="2">
        <f t="shared" si="3"/>
        <v>0.5</v>
      </c>
      <c r="E47" s="2">
        <v>0.69</v>
      </c>
      <c r="F47" s="2">
        <f t="shared" si="4"/>
        <v>1</v>
      </c>
      <c r="G47" s="2" t="s">
        <v>18</v>
      </c>
      <c r="H47" s="2" t="s">
        <v>18</v>
      </c>
      <c r="I47" s="3">
        <v>45.4</v>
      </c>
      <c r="J47" s="3">
        <v>90.2</v>
      </c>
      <c r="K47" s="3">
        <f t="shared" si="5"/>
        <v>-44.8</v>
      </c>
    </row>
    <row r="48" spans="1:11" x14ac:dyDescent="0.25">
      <c r="A48" s="6">
        <v>2001806733</v>
      </c>
      <c r="B48" s="6">
        <v>1091117226674</v>
      </c>
      <c r="C48" s="2">
        <v>0.96699999999999997</v>
      </c>
      <c r="D48" s="2">
        <f t="shared" si="3"/>
        <v>1</v>
      </c>
      <c r="E48" s="2">
        <v>1.1299999999999999</v>
      </c>
      <c r="F48" s="2">
        <f t="shared" si="4"/>
        <v>1.5</v>
      </c>
      <c r="G48" s="2" t="s">
        <v>18</v>
      </c>
      <c r="H48" s="2" t="s">
        <v>18</v>
      </c>
      <c r="I48" s="3">
        <v>90.2</v>
      </c>
      <c r="J48" s="3">
        <v>135</v>
      </c>
      <c r="K48" s="3">
        <f t="shared" si="5"/>
        <v>-44.8</v>
      </c>
    </row>
    <row r="49" spans="1:11" x14ac:dyDescent="0.25">
      <c r="A49" s="6">
        <v>2001806735</v>
      </c>
      <c r="B49" s="6">
        <v>1091117226711</v>
      </c>
      <c r="C49" s="2">
        <v>0.5</v>
      </c>
      <c r="D49" s="2">
        <f t="shared" si="3"/>
        <v>0.5</v>
      </c>
      <c r="E49" s="2">
        <v>0.69</v>
      </c>
      <c r="F49" s="2">
        <f t="shared" si="4"/>
        <v>1</v>
      </c>
      <c r="G49" s="2" t="s">
        <v>18</v>
      </c>
      <c r="H49" s="2" t="s">
        <v>18</v>
      </c>
      <c r="I49" s="3">
        <v>45.4</v>
      </c>
      <c r="J49" s="3">
        <v>90.2</v>
      </c>
      <c r="K49" s="3">
        <f t="shared" si="5"/>
        <v>-44.8</v>
      </c>
    </row>
    <row r="50" spans="1:11" x14ac:dyDescent="0.25">
      <c r="A50" s="6">
        <v>2001806726</v>
      </c>
      <c r="B50" s="6">
        <v>1091117226910</v>
      </c>
      <c r="C50" s="2">
        <v>0.5</v>
      </c>
      <c r="D50" s="2">
        <f t="shared" si="3"/>
        <v>0.5</v>
      </c>
      <c r="E50" s="2">
        <v>0.68</v>
      </c>
      <c r="F50" s="2">
        <f t="shared" si="4"/>
        <v>1</v>
      </c>
      <c r="G50" s="2" t="s">
        <v>18</v>
      </c>
      <c r="H50" s="2" t="s">
        <v>18</v>
      </c>
      <c r="I50" s="3">
        <v>45.4</v>
      </c>
      <c r="J50" s="3">
        <v>90.2</v>
      </c>
      <c r="K50" s="3">
        <f t="shared" si="5"/>
        <v>-44.8</v>
      </c>
    </row>
    <row r="51" spans="1:11" x14ac:dyDescent="0.25">
      <c r="A51" s="6">
        <v>2001806776</v>
      </c>
      <c r="B51" s="6">
        <v>1091117227573</v>
      </c>
      <c r="C51" s="2">
        <v>0.61099999999999999</v>
      </c>
      <c r="D51" s="2">
        <f t="shared" si="3"/>
        <v>1</v>
      </c>
      <c r="E51" s="2">
        <v>2.86</v>
      </c>
      <c r="F51" s="2">
        <f t="shared" si="4"/>
        <v>3</v>
      </c>
      <c r="G51" s="2" t="s">
        <v>19</v>
      </c>
      <c r="H51" s="2" t="s">
        <v>19</v>
      </c>
      <c r="I51" s="3">
        <v>61.3</v>
      </c>
      <c r="J51" s="3">
        <v>174.5</v>
      </c>
      <c r="K51" s="3">
        <f t="shared" si="5"/>
        <v>-113.2</v>
      </c>
    </row>
    <row r="52" spans="1:11" x14ac:dyDescent="0.25">
      <c r="A52" s="6">
        <v>2001806801</v>
      </c>
      <c r="B52" s="6">
        <v>1091117227816</v>
      </c>
      <c r="C52" s="2">
        <v>0.36099999999999999</v>
      </c>
      <c r="D52" s="2">
        <f t="shared" si="3"/>
        <v>0.5</v>
      </c>
      <c r="E52" s="2">
        <v>1.35</v>
      </c>
      <c r="F52" s="2">
        <f t="shared" si="4"/>
        <v>1.5</v>
      </c>
      <c r="G52" s="2" t="s">
        <v>19</v>
      </c>
      <c r="H52" s="2" t="s">
        <v>19</v>
      </c>
      <c r="I52" s="3">
        <v>33</v>
      </c>
      <c r="J52" s="3">
        <v>89.6</v>
      </c>
      <c r="K52" s="3">
        <f t="shared" si="5"/>
        <v>-56.6</v>
      </c>
    </row>
    <row r="53" spans="1:11" x14ac:dyDescent="0.25">
      <c r="A53" s="6">
        <v>2001807004</v>
      </c>
      <c r="B53" s="6">
        <v>1091117229290</v>
      </c>
      <c r="C53" s="2">
        <v>0.5</v>
      </c>
      <c r="D53" s="2">
        <f t="shared" si="3"/>
        <v>0.5</v>
      </c>
      <c r="E53" s="2">
        <v>0.68</v>
      </c>
      <c r="F53" s="2">
        <f t="shared" si="4"/>
        <v>1</v>
      </c>
      <c r="G53" s="2" t="s">
        <v>18</v>
      </c>
      <c r="H53" s="2" t="s">
        <v>18</v>
      </c>
      <c r="I53" s="3">
        <v>45.4</v>
      </c>
      <c r="J53" s="3">
        <v>90.2</v>
      </c>
      <c r="K53" s="3">
        <f t="shared" si="5"/>
        <v>-44.8</v>
      </c>
    </row>
    <row r="54" spans="1:11" x14ac:dyDescent="0.25">
      <c r="A54" s="6">
        <v>2001807036</v>
      </c>
      <c r="B54" s="6">
        <v>1091117323005</v>
      </c>
      <c r="C54" s="2">
        <v>1.4590000000000001</v>
      </c>
      <c r="D54" s="2">
        <f t="shared" si="3"/>
        <v>1.5</v>
      </c>
      <c r="E54" s="2">
        <v>1.64</v>
      </c>
      <c r="F54" s="2">
        <f t="shared" si="4"/>
        <v>2</v>
      </c>
      <c r="G54" s="2" t="s">
        <v>18</v>
      </c>
      <c r="H54" s="2" t="s">
        <v>18</v>
      </c>
      <c r="I54" s="3">
        <v>135</v>
      </c>
      <c r="J54" s="3">
        <v>179.8</v>
      </c>
      <c r="K54" s="3">
        <f t="shared" si="5"/>
        <v>-44.8</v>
      </c>
    </row>
    <row r="55" spans="1:11" x14ac:dyDescent="0.25">
      <c r="A55" s="6">
        <v>2001807084</v>
      </c>
      <c r="B55" s="6">
        <v>1091117323215</v>
      </c>
      <c r="C55" s="2">
        <v>0.5</v>
      </c>
      <c r="D55" s="2">
        <f t="shared" si="3"/>
        <v>0.5</v>
      </c>
      <c r="E55" s="2">
        <v>0.67</v>
      </c>
      <c r="F55" s="2">
        <f t="shared" si="4"/>
        <v>1</v>
      </c>
      <c r="G55" s="2" t="s">
        <v>18</v>
      </c>
      <c r="H55" s="2" t="s">
        <v>18</v>
      </c>
      <c r="I55" s="3">
        <v>45.4</v>
      </c>
      <c r="J55" s="3">
        <v>90.2</v>
      </c>
      <c r="K55" s="3">
        <f t="shared" si="5"/>
        <v>-44.8</v>
      </c>
    </row>
    <row r="56" spans="1:11" x14ac:dyDescent="0.25">
      <c r="A56" s="6">
        <v>2001807362</v>
      </c>
      <c r="B56" s="6">
        <v>1091117324394</v>
      </c>
      <c r="C56" s="2">
        <v>2.016</v>
      </c>
      <c r="D56" s="2">
        <f t="shared" si="3"/>
        <v>2.5</v>
      </c>
      <c r="E56" s="2">
        <v>2</v>
      </c>
      <c r="F56" s="2">
        <f t="shared" si="4"/>
        <v>2</v>
      </c>
      <c r="G56" s="2" t="s">
        <v>18</v>
      </c>
      <c r="H56" s="2" t="s">
        <v>18</v>
      </c>
      <c r="I56" s="3">
        <v>224.6</v>
      </c>
      <c r="J56" s="3">
        <v>179.8</v>
      </c>
      <c r="K56" s="3">
        <f t="shared" si="5"/>
        <v>44.8</v>
      </c>
    </row>
    <row r="57" spans="1:11" x14ac:dyDescent="0.25">
      <c r="A57" s="6">
        <v>2001807415</v>
      </c>
      <c r="B57" s="6">
        <v>1091117325094</v>
      </c>
      <c r="C57" s="2">
        <v>1.048</v>
      </c>
      <c r="D57" s="2">
        <f t="shared" si="3"/>
        <v>1.5</v>
      </c>
      <c r="E57" s="2">
        <v>1</v>
      </c>
      <c r="F57" s="2">
        <f t="shared" si="4"/>
        <v>1</v>
      </c>
      <c r="G57" s="2" t="s">
        <v>19</v>
      </c>
      <c r="H57" s="2" t="s">
        <v>19</v>
      </c>
      <c r="I57" s="3">
        <v>89.6</v>
      </c>
      <c r="J57" s="3">
        <v>61.3</v>
      </c>
      <c r="K57" s="3">
        <f t="shared" si="5"/>
        <v>28.3</v>
      </c>
    </row>
    <row r="58" spans="1:11" x14ac:dyDescent="0.25">
      <c r="A58" s="6">
        <v>2001809592</v>
      </c>
      <c r="B58" s="6">
        <v>1091117616121</v>
      </c>
      <c r="C58" s="2">
        <v>1.5049999999999999</v>
      </c>
      <c r="D58" s="2">
        <f t="shared" si="3"/>
        <v>2</v>
      </c>
      <c r="E58" s="2">
        <v>1.5</v>
      </c>
      <c r="F58" s="2">
        <f t="shared" si="4"/>
        <v>1.5</v>
      </c>
      <c r="G58" s="2" t="s">
        <v>19</v>
      </c>
      <c r="H58" s="2" t="s">
        <v>19</v>
      </c>
      <c r="I58" s="3">
        <v>117.9</v>
      </c>
      <c r="J58" s="3">
        <v>89.6</v>
      </c>
      <c r="K58" s="3">
        <f t="shared" si="5"/>
        <v>28.3</v>
      </c>
    </row>
    <row r="59" spans="1:11" x14ac:dyDescent="0.25">
      <c r="A59" s="6">
        <v>2001809794</v>
      </c>
      <c r="B59" s="6">
        <v>1091117795531</v>
      </c>
      <c r="C59" s="2">
        <v>1.5169999999999999</v>
      </c>
      <c r="D59" s="2">
        <f t="shared" si="3"/>
        <v>2</v>
      </c>
      <c r="E59" s="2">
        <v>1.5</v>
      </c>
      <c r="F59" s="2">
        <f t="shared" si="4"/>
        <v>1.5</v>
      </c>
      <c r="G59" s="2" t="s">
        <v>18</v>
      </c>
      <c r="H59" s="2" t="s">
        <v>18</v>
      </c>
      <c r="I59" s="3">
        <v>179.8</v>
      </c>
      <c r="J59" s="3">
        <v>135</v>
      </c>
      <c r="K59" s="3">
        <f t="shared" si="5"/>
        <v>44.8</v>
      </c>
    </row>
    <row r="60" spans="1:11" x14ac:dyDescent="0.25">
      <c r="A60" s="6">
        <v>2001809820</v>
      </c>
      <c r="B60" s="6">
        <v>1091117795623</v>
      </c>
      <c r="C60" s="2">
        <v>3.08</v>
      </c>
      <c r="D60" s="2">
        <f t="shared" si="3"/>
        <v>3.5</v>
      </c>
      <c r="E60" s="2">
        <v>3</v>
      </c>
      <c r="F60" s="2">
        <f t="shared" si="4"/>
        <v>3</v>
      </c>
      <c r="G60" s="2" t="s">
        <v>18</v>
      </c>
      <c r="H60" s="2" t="s">
        <v>18</v>
      </c>
      <c r="I60" s="3">
        <v>314.2</v>
      </c>
      <c r="J60" s="3">
        <v>269.39999999999998</v>
      </c>
      <c r="K60" s="3">
        <f t="shared" si="5"/>
        <v>44.8</v>
      </c>
    </row>
    <row r="61" spans="1:11" x14ac:dyDescent="0.25">
      <c r="A61" s="6">
        <v>2001806471</v>
      </c>
      <c r="B61" s="6">
        <v>1091117223351</v>
      </c>
      <c r="C61" s="2">
        <v>1.621</v>
      </c>
      <c r="D61" s="2">
        <f t="shared" si="3"/>
        <v>2</v>
      </c>
      <c r="E61" s="2">
        <v>1.7</v>
      </c>
      <c r="F61" s="2">
        <f t="shared" si="4"/>
        <v>2</v>
      </c>
      <c r="G61" s="2" t="s">
        <v>19</v>
      </c>
      <c r="H61" s="2" t="s">
        <v>18</v>
      </c>
      <c r="I61" s="3">
        <v>117.9</v>
      </c>
      <c r="J61" s="3">
        <v>179.8</v>
      </c>
      <c r="K61" s="3">
        <f t="shared" si="5"/>
        <v>-61.9</v>
      </c>
    </row>
    <row r="62" spans="1:11" x14ac:dyDescent="0.25">
      <c r="A62" s="6">
        <v>2001807241</v>
      </c>
      <c r="B62" s="6">
        <v>1091117324011</v>
      </c>
      <c r="C62" s="2">
        <v>0.60699999999999998</v>
      </c>
      <c r="D62" s="2">
        <f t="shared" si="3"/>
        <v>1</v>
      </c>
      <c r="E62" s="2">
        <v>0.79</v>
      </c>
      <c r="F62" s="2">
        <f t="shared" si="4"/>
        <v>1</v>
      </c>
      <c r="G62" s="2" t="s">
        <v>19</v>
      </c>
      <c r="H62" s="2" t="s">
        <v>18</v>
      </c>
      <c r="I62" s="3">
        <v>61.3</v>
      </c>
      <c r="J62" s="3">
        <v>90.2</v>
      </c>
      <c r="K62" s="3">
        <f t="shared" si="5"/>
        <v>-28.9</v>
      </c>
    </row>
    <row r="63" spans="1:11" x14ac:dyDescent="0.25">
      <c r="A63" s="6">
        <v>2001807981</v>
      </c>
      <c r="B63" s="6">
        <v>1091117327570</v>
      </c>
      <c r="C63" s="2">
        <v>0.5</v>
      </c>
      <c r="D63" s="2">
        <f t="shared" si="3"/>
        <v>0.5</v>
      </c>
      <c r="E63" s="2">
        <v>0.5</v>
      </c>
      <c r="F63" s="2">
        <f t="shared" si="4"/>
        <v>0.5</v>
      </c>
      <c r="G63" s="2" t="s">
        <v>19</v>
      </c>
      <c r="H63" s="2" t="s">
        <v>18</v>
      </c>
      <c r="I63" s="3">
        <v>33</v>
      </c>
      <c r="J63" s="3">
        <v>45.4</v>
      </c>
      <c r="K63" s="3">
        <f t="shared" si="5"/>
        <v>-12.4</v>
      </c>
    </row>
    <row r="64" spans="1:11" x14ac:dyDescent="0.25">
      <c r="A64" s="6">
        <v>2001808286</v>
      </c>
      <c r="B64" s="6">
        <v>1091117435602</v>
      </c>
      <c r="C64" s="2">
        <v>0.60099999999999998</v>
      </c>
      <c r="D64" s="2">
        <f t="shared" si="3"/>
        <v>1</v>
      </c>
      <c r="E64" s="2">
        <v>0.77</v>
      </c>
      <c r="F64" s="2">
        <f t="shared" si="4"/>
        <v>1</v>
      </c>
      <c r="G64" s="2" t="s">
        <v>19</v>
      </c>
      <c r="H64" s="2" t="s">
        <v>18</v>
      </c>
      <c r="I64" s="3">
        <v>61.3</v>
      </c>
      <c r="J64" s="3">
        <v>90.2</v>
      </c>
      <c r="K64" s="3">
        <f t="shared" si="5"/>
        <v>-28.9</v>
      </c>
    </row>
    <row r="65" spans="1:11" x14ac:dyDescent="0.25">
      <c r="A65" s="6">
        <v>2001808801</v>
      </c>
      <c r="B65" s="6">
        <v>1091117437680</v>
      </c>
      <c r="C65" s="2">
        <v>0.73099999999999998</v>
      </c>
      <c r="D65" s="2">
        <f t="shared" si="3"/>
        <v>1</v>
      </c>
      <c r="E65" s="2">
        <v>0.8</v>
      </c>
      <c r="F65" s="2">
        <f t="shared" si="4"/>
        <v>1</v>
      </c>
      <c r="G65" s="2" t="s">
        <v>19</v>
      </c>
      <c r="H65" s="2" t="s">
        <v>18</v>
      </c>
      <c r="I65" s="3">
        <v>61.3</v>
      </c>
      <c r="J65" s="3">
        <v>90.2</v>
      </c>
      <c r="K65" s="3">
        <f t="shared" si="5"/>
        <v>-28.9</v>
      </c>
    </row>
    <row r="66" spans="1:11" x14ac:dyDescent="0.25">
      <c r="A66" s="6">
        <v>2001810104</v>
      </c>
      <c r="B66" s="6">
        <v>1091117804200</v>
      </c>
      <c r="C66" s="2">
        <v>0.60099999999999998</v>
      </c>
      <c r="D66" s="2">
        <f t="shared" ref="D66:D97" si="6">CEILING(C66,0.5)</f>
        <v>1</v>
      </c>
      <c r="E66" s="2">
        <v>0.76</v>
      </c>
      <c r="F66" s="2">
        <f t="shared" ref="F66:F97" si="7">CEILING(E66,0.5)</f>
        <v>1</v>
      </c>
      <c r="G66" s="2" t="s">
        <v>19</v>
      </c>
      <c r="H66" s="2" t="s">
        <v>18</v>
      </c>
      <c r="I66" s="3">
        <v>61.3</v>
      </c>
      <c r="J66" s="3">
        <v>90.2</v>
      </c>
      <c r="K66" s="3">
        <f t="shared" ref="K66:K97" si="8">ROUND(I66-J66,2)</f>
        <v>-28.9</v>
      </c>
    </row>
    <row r="67" spans="1:11" x14ac:dyDescent="0.25">
      <c r="A67" s="6">
        <v>2001811153</v>
      </c>
      <c r="B67" s="6">
        <v>1091117957533</v>
      </c>
      <c r="C67" s="2">
        <v>0.60699999999999998</v>
      </c>
      <c r="D67" s="2">
        <f t="shared" si="6"/>
        <v>1</v>
      </c>
      <c r="E67" s="2">
        <v>0.76</v>
      </c>
      <c r="F67" s="2">
        <f t="shared" si="7"/>
        <v>1</v>
      </c>
      <c r="G67" s="2" t="s">
        <v>19</v>
      </c>
      <c r="H67" s="2" t="s">
        <v>18</v>
      </c>
      <c r="I67" s="3">
        <v>61.3</v>
      </c>
      <c r="J67" s="3">
        <v>90.2</v>
      </c>
      <c r="K67" s="3">
        <f t="shared" si="8"/>
        <v>-28.9</v>
      </c>
    </row>
    <row r="68" spans="1:11" x14ac:dyDescent="0.25">
      <c r="A68" s="6">
        <v>2001811229</v>
      </c>
      <c r="B68" s="6">
        <v>1091117957942</v>
      </c>
      <c r="C68" s="2">
        <v>0.505</v>
      </c>
      <c r="D68" s="2">
        <f t="shared" si="6"/>
        <v>1</v>
      </c>
      <c r="E68" s="2">
        <v>0.6</v>
      </c>
      <c r="F68" s="2">
        <f t="shared" si="7"/>
        <v>1</v>
      </c>
      <c r="G68" s="2" t="s">
        <v>19</v>
      </c>
      <c r="H68" s="2" t="s">
        <v>18</v>
      </c>
      <c r="I68" s="3">
        <v>61.3</v>
      </c>
      <c r="J68" s="3">
        <v>90.2</v>
      </c>
      <c r="K68" s="3">
        <f t="shared" si="8"/>
        <v>-28.9</v>
      </c>
    </row>
    <row r="69" spans="1:11" x14ac:dyDescent="0.25">
      <c r="A69" s="6">
        <v>2001811363</v>
      </c>
      <c r="B69" s="6">
        <v>1091117958395</v>
      </c>
      <c r="C69" s="2">
        <v>0.50800000000000001</v>
      </c>
      <c r="D69" s="2">
        <f t="shared" si="6"/>
        <v>1</v>
      </c>
      <c r="E69" s="2">
        <v>0.59</v>
      </c>
      <c r="F69" s="2">
        <f t="shared" si="7"/>
        <v>1</v>
      </c>
      <c r="G69" s="2" t="s">
        <v>19</v>
      </c>
      <c r="H69" s="2" t="s">
        <v>18</v>
      </c>
      <c r="I69" s="3">
        <v>61.3</v>
      </c>
      <c r="J69" s="3">
        <v>90.2</v>
      </c>
      <c r="K69" s="3">
        <f t="shared" si="8"/>
        <v>-28.9</v>
      </c>
    </row>
    <row r="70" spans="1:11" x14ac:dyDescent="0.25">
      <c r="A70" s="6">
        <v>2001811466</v>
      </c>
      <c r="B70" s="6">
        <v>1091118001865</v>
      </c>
      <c r="C70" s="2">
        <v>0.60699999999999998</v>
      </c>
      <c r="D70" s="2">
        <f t="shared" si="6"/>
        <v>1</v>
      </c>
      <c r="E70" s="2">
        <v>0.8</v>
      </c>
      <c r="F70" s="2">
        <f t="shared" si="7"/>
        <v>1</v>
      </c>
      <c r="G70" s="2" t="s">
        <v>19</v>
      </c>
      <c r="H70" s="2" t="s">
        <v>18</v>
      </c>
      <c r="I70" s="3">
        <v>61.3</v>
      </c>
      <c r="J70" s="3">
        <v>90.2</v>
      </c>
      <c r="K70" s="3">
        <f t="shared" si="8"/>
        <v>-28.9</v>
      </c>
    </row>
    <row r="71" spans="1:11" x14ac:dyDescent="0.25">
      <c r="A71" s="6">
        <v>2001811809</v>
      </c>
      <c r="B71" s="6">
        <v>1091118009786</v>
      </c>
      <c r="C71" s="2">
        <v>0.5</v>
      </c>
      <c r="D71" s="2">
        <f t="shared" si="6"/>
        <v>0.5</v>
      </c>
      <c r="E71" s="2">
        <v>0.5</v>
      </c>
      <c r="F71" s="2">
        <f t="shared" si="7"/>
        <v>0.5</v>
      </c>
      <c r="G71" s="2" t="s">
        <v>19</v>
      </c>
      <c r="H71" s="2" t="s">
        <v>18</v>
      </c>
      <c r="I71" s="3">
        <v>53.5</v>
      </c>
      <c r="J71" s="3">
        <v>86.7</v>
      </c>
      <c r="K71" s="3">
        <f t="shared" si="8"/>
        <v>-33.200000000000003</v>
      </c>
    </row>
    <row r="72" spans="1:11" x14ac:dyDescent="0.25">
      <c r="A72" s="6">
        <v>2001812854</v>
      </c>
      <c r="B72" s="6">
        <v>1091118548333</v>
      </c>
      <c r="C72" s="2">
        <v>2.5720000000000001</v>
      </c>
      <c r="D72" s="2">
        <f t="shared" si="6"/>
        <v>3</v>
      </c>
      <c r="E72" s="2">
        <v>2.94</v>
      </c>
      <c r="F72" s="2">
        <f t="shared" si="7"/>
        <v>3</v>
      </c>
      <c r="G72" s="2" t="s">
        <v>19</v>
      </c>
      <c r="H72" s="2" t="s">
        <v>18</v>
      </c>
      <c r="I72" s="3">
        <v>174.5</v>
      </c>
      <c r="J72" s="3">
        <v>269.39999999999998</v>
      </c>
      <c r="K72" s="3">
        <f t="shared" si="8"/>
        <v>-94.9</v>
      </c>
    </row>
    <row r="73" spans="1:11" x14ac:dyDescent="0.25">
      <c r="A73" s="6">
        <v>2001813009</v>
      </c>
      <c r="B73" s="6">
        <v>1091118553701</v>
      </c>
      <c r="C73" s="2">
        <v>0.72</v>
      </c>
      <c r="D73" s="2">
        <f t="shared" si="6"/>
        <v>1</v>
      </c>
      <c r="E73" s="2">
        <v>1</v>
      </c>
      <c r="F73" s="2">
        <f t="shared" si="7"/>
        <v>1</v>
      </c>
      <c r="G73" s="2" t="s">
        <v>19</v>
      </c>
      <c r="H73" s="2" t="s">
        <v>18</v>
      </c>
      <c r="I73" s="3">
        <v>61.3</v>
      </c>
      <c r="J73" s="3">
        <v>90.2</v>
      </c>
      <c r="K73" s="3">
        <f t="shared" si="8"/>
        <v>-28.9</v>
      </c>
    </row>
    <row r="74" spans="1:11" x14ac:dyDescent="0.25">
      <c r="A74" s="6">
        <v>2001812650</v>
      </c>
      <c r="B74" s="6">
        <v>1091118591534</v>
      </c>
      <c r="C74" s="2">
        <v>0.56299999999999994</v>
      </c>
      <c r="D74" s="2">
        <f t="shared" si="6"/>
        <v>1</v>
      </c>
      <c r="E74" s="2">
        <v>0.61</v>
      </c>
      <c r="F74" s="2">
        <f t="shared" si="7"/>
        <v>1</v>
      </c>
      <c r="G74" s="2" t="s">
        <v>19</v>
      </c>
      <c r="H74" s="2" t="s">
        <v>18</v>
      </c>
      <c r="I74" s="3">
        <v>61.3</v>
      </c>
      <c r="J74" s="3">
        <v>90.2</v>
      </c>
      <c r="K74" s="3">
        <f t="shared" si="8"/>
        <v>-28.9</v>
      </c>
    </row>
    <row r="75" spans="1:11" x14ac:dyDescent="0.25">
      <c r="A75" s="6">
        <v>2001814580</v>
      </c>
      <c r="B75" s="6">
        <v>1091118925110</v>
      </c>
      <c r="C75" s="2">
        <v>0.127</v>
      </c>
      <c r="D75" s="2">
        <f t="shared" si="6"/>
        <v>0.5</v>
      </c>
      <c r="E75" s="2">
        <v>0.15</v>
      </c>
      <c r="F75" s="2">
        <f t="shared" si="7"/>
        <v>0.5</v>
      </c>
      <c r="G75" s="2" t="s">
        <v>19</v>
      </c>
      <c r="H75" s="2" t="s">
        <v>18</v>
      </c>
      <c r="I75" s="3">
        <v>53.5</v>
      </c>
      <c r="J75" s="3">
        <v>86.7</v>
      </c>
      <c r="K75" s="3">
        <f t="shared" si="8"/>
        <v>-33.200000000000003</v>
      </c>
    </row>
    <row r="76" spans="1:11" x14ac:dyDescent="0.25">
      <c r="A76" s="6">
        <v>2001815688</v>
      </c>
      <c r="B76" s="6">
        <v>1091119169701</v>
      </c>
      <c r="C76" s="2">
        <v>0.22</v>
      </c>
      <c r="D76" s="2">
        <f t="shared" si="6"/>
        <v>0.5</v>
      </c>
      <c r="E76" s="2">
        <v>0.2</v>
      </c>
      <c r="F76" s="2">
        <f t="shared" si="7"/>
        <v>0.5</v>
      </c>
      <c r="G76" s="2" t="s">
        <v>19</v>
      </c>
      <c r="H76" s="2" t="s">
        <v>18</v>
      </c>
      <c r="I76" s="3">
        <v>33</v>
      </c>
      <c r="J76" s="3">
        <v>45.4</v>
      </c>
      <c r="K76" s="3">
        <f t="shared" si="8"/>
        <v>-12.4</v>
      </c>
    </row>
    <row r="77" spans="1:11" x14ac:dyDescent="0.25">
      <c r="A77" s="6">
        <v>2001816131</v>
      </c>
      <c r="B77" s="6">
        <v>1091119367193</v>
      </c>
      <c r="C77" s="2">
        <v>0.55400000000000005</v>
      </c>
      <c r="D77" s="2">
        <f t="shared" si="6"/>
        <v>1</v>
      </c>
      <c r="E77" s="2">
        <v>0.7</v>
      </c>
      <c r="F77" s="2">
        <f t="shared" si="7"/>
        <v>1</v>
      </c>
      <c r="G77" s="2" t="s">
        <v>19</v>
      </c>
      <c r="H77" s="2" t="s">
        <v>18</v>
      </c>
      <c r="I77" s="3">
        <v>61.3</v>
      </c>
      <c r="J77" s="3">
        <v>90.2</v>
      </c>
      <c r="K77" s="3">
        <f t="shared" si="8"/>
        <v>-28.9</v>
      </c>
    </row>
    <row r="78" spans="1:11" x14ac:dyDescent="0.25">
      <c r="A78" s="6">
        <v>2001816996</v>
      </c>
      <c r="B78" s="6">
        <v>1091119429202</v>
      </c>
      <c r="C78" s="2">
        <v>0.5</v>
      </c>
      <c r="D78" s="2">
        <f t="shared" si="6"/>
        <v>0.5</v>
      </c>
      <c r="E78" s="2">
        <v>0.5</v>
      </c>
      <c r="F78" s="2">
        <f t="shared" si="7"/>
        <v>0.5</v>
      </c>
      <c r="G78" s="2" t="s">
        <v>19</v>
      </c>
      <c r="H78" s="2" t="s">
        <v>18</v>
      </c>
      <c r="I78" s="3">
        <v>33</v>
      </c>
      <c r="J78" s="3">
        <v>45.4</v>
      </c>
      <c r="K78" s="3">
        <f t="shared" si="8"/>
        <v>-12.4</v>
      </c>
    </row>
    <row r="79" spans="1:11" x14ac:dyDescent="0.25">
      <c r="A79" s="6">
        <v>2001821185</v>
      </c>
      <c r="B79" s="6">
        <v>1091120959225</v>
      </c>
      <c r="C79" s="2">
        <v>2.0979999999999999</v>
      </c>
      <c r="D79" s="2">
        <f t="shared" si="6"/>
        <v>2.5</v>
      </c>
      <c r="E79" s="2">
        <v>2.1</v>
      </c>
      <c r="F79" s="2">
        <f t="shared" si="7"/>
        <v>2.5</v>
      </c>
      <c r="G79" s="2" t="s">
        <v>19</v>
      </c>
      <c r="H79" s="2" t="s">
        <v>18</v>
      </c>
      <c r="I79" s="3">
        <v>146.19999999999999</v>
      </c>
      <c r="J79" s="3">
        <v>224.6</v>
      </c>
      <c r="K79" s="3">
        <f t="shared" si="8"/>
        <v>-78.400000000000006</v>
      </c>
    </row>
    <row r="80" spans="1:11" x14ac:dyDescent="0.25">
      <c r="A80" s="6">
        <v>2001821284</v>
      </c>
      <c r="B80" s="6">
        <v>1091120962515</v>
      </c>
      <c r="C80" s="2">
        <v>0.17699999999999999</v>
      </c>
      <c r="D80" s="2">
        <f t="shared" si="6"/>
        <v>0.5</v>
      </c>
      <c r="E80" s="2">
        <v>0.2</v>
      </c>
      <c r="F80" s="2">
        <f t="shared" si="7"/>
        <v>0.5</v>
      </c>
      <c r="G80" s="2" t="s">
        <v>19</v>
      </c>
      <c r="H80" s="2" t="s">
        <v>18</v>
      </c>
      <c r="I80" s="3">
        <v>33</v>
      </c>
      <c r="J80" s="3">
        <v>45.4</v>
      </c>
      <c r="K80" s="3">
        <f t="shared" si="8"/>
        <v>-12.4</v>
      </c>
    </row>
    <row r="81" spans="1:11" x14ac:dyDescent="0.25">
      <c r="A81" s="6">
        <v>2001821679</v>
      </c>
      <c r="B81" s="6">
        <v>1091121031745</v>
      </c>
      <c r="C81" s="2">
        <v>0.16500000000000001</v>
      </c>
      <c r="D81" s="2">
        <f t="shared" si="6"/>
        <v>0.5</v>
      </c>
      <c r="E81" s="2">
        <v>0.2</v>
      </c>
      <c r="F81" s="2">
        <f t="shared" si="7"/>
        <v>0.5</v>
      </c>
      <c r="G81" s="2" t="s">
        <v>19</v>
      </c>
      <c r="H81" s="2" t="s">
        <v>18</v>
      </c>
      <c r="I81" s="3">
        <v>33</v>
      </c>
      <c r="J81" s="3">
        <v>45.4</v>
      </c>
      <c r="K81" s="3">
        <f t="shared" si="8"/>
        <v>-12.4</v>
      </c>
    </row>
    <row r="82" spans="1:11" x14ac:dyDescent="0.25">
      <c r="A82" s="6">
        <v>2001821742</v>
      </c>
      <c r="B82" s="6">
        <v>1091121034114</v>
      </c>
      <c r="C82" s="2">
        <v>0.24</v>
      </c>
      <c r="D82" s="2">
        <f t="shared" si="6"/>
        <v>0.5</v>
      </c>
      <c r="E82" s="2">
        <v>0.15</v>
      </c>
      <c r="F82" s="2">
        <f t="shared" si="7"/>
        <v>0.5</v>
      </c>
      <c r="G82" s="2" t="s">
        <v>19</v>
      </c>
      <c r="H82" s="2" t="s">
        <v>18</v>
      </c>
      <c r="I82" s="3">
        <v>33</v>
      </c>
      <c r="J82" s="3">
        <v>45.4</v>
      </c>
      <c r="K82" s="3">
        <f t="shared" si="8"/>
        <v>-12.4</v>
      </c>
    </row>
    <row r="83" spans="1:11" x14ac:dyDescent="0.25">
      <c r="A83" s="6">
        <v>2001821750</v>
      </c>
      <c r="B83" s="6">
        <v>1091121034350</v>
      </c>
      <c r="C83" s="2">
        <v>0.755</v>
      </c>
      <c r="D83" s="2">
        <f t="shared" si="6"/>
        <v>1</v>
      </c>
      <c r="E83" s="2">
        <v>0.8</v>
      </c>
      <c r="F83" s="2">
        <f t="shared" si="7"/>
        <v>1</v>
      </c>
      <c r="G83" s="2" t="s">
        <v>19</v>
      </c>
      <c r="H83" s="2" t="s">
        <v>18</v>
      </c>
      <c r="I83" s="3">
        <v>61.3</v>
      </c>
      <c r="J83" s="3">
        <v>90.2</v>
      </c>
      <c r="K83" s="3">
        <f t="shared" si="8"/>
        <v>-28.9</v>
      </c>
    </row>
    <row r="84" spans="1:11" x14ac:dyDescent="0.25">
      <c r="A84" s="6">
        <v>2001821766</v>
      </c>
      <c r="B84" s="6">
        <v>1091121034641</v>
      </c>
      <c r="C84" s="2">
        <v>0.24</v>
      </c>
      <c r="D84" s="2">
        <f t="shared" si="6"/>
        <v>0.5</v>
      </c>
      <c r="E84" s="2">
        <v>0.2</v>
      </c>
      <c r="F84" s="2">
        <f t="shared" si="7"/>
        <v>0.5</v>
      </c>
      <c r="G84" s="2" t="s">
        <v>19</v>
      </c>
      <c r="H84" s="2" t="s">
        <v>18</v>
      </c>
      <c r="I84" s="3">
        <v>33</v>
      </c>
      <c r="J84" s="3">
        <v>45.4</v>
      </c>
      <c r="K84" s="3">
        <f t="shared" si="8"/>
        <v>-12.4</v>
      </c>
    </row>
    <row r="85" spans="1:11" x14ac:dyDescent="0.25">
      <c r="A85" s="6">
        <v>2001821995</v>
      </c>
      <c r="B85" s="6">
        <v>1091121183730</v>
      </c>
      <c r="C85" s="2">
        <v>0.47699999999999998</v>
      </c>
      <c r="D85" s="2">
        <f t="shared" si="6"/>
        <v>0.5</v>
      </c>
      <c r="E85" s="2">
        <v>0.5</v>
      </c>
      <c r="F85" s="2">
        <f t="shared" si="7"/>
        <v>0.5</v>
      </c>
      <c r="G85" s="2" t="s">
        <v>19</v>
      </c>
      <c r="H85" s="2" t="s">
        <v>18</v>
      </c>
      <c r="I85" s="3">
        <v>33</v>
      </c>
      <c r="J85" s="3">
        <v>45.4</v>
      </c>
      <c r="K85" s="3">
        <f t="shared" si="8"/>
        <v>-12.4</v>
      </c>
    </row>
    <row r="86" spans="1:11" x14ac:dyDescent="0.25">
      <c r="A86" s="6">
        <v>2001821502</v>
      </c>
      <c r="B86" s="6">
        <v>1091121185863</v>
      </c>
      <c r="C86" s="2">
        <v>0.55800000000000005</v>
      </c>
      <c r="D86" s="2">
        <f t="shared" si="6"/>
        <v>1</v>
      </c>
      <c r="E86" s="2">
        <v>0.6</v>
      </c>
      <c r="F86" s="2">
        <f t="shared" si="7"/>
        <v>1</v>
      </c>
      <c r="G86" s="2" t="s">
        <v>19</v>
      </c>
      <c r="H86" s="2" t="s">
        <v>18</v>
      </c>
      <c r="I86" s="3">
        <v>61.3</v>
      </c>
      <c r="J86" s="3">
        <v>90.2</v>
      </c>
      <c r="K86" s="3">
        <f t="shared" si="8"/>
        <v>-28.9</v>
      </c>
    </row>
    <row r="87" spans="1:11" x14ac:dyDescent="0.25">
      <c r="A87" s="6">
        <v>2001822466</v>
      </c>
      <c r="B87" s="6">
        <v>1091121305541</v>
      </c>
      <c r="C87" s="2">
        <v>1.3759999999999999</v>
      </c>
      <c r="D87" s="2">
        <f t="shared" si="6"/>
        <v>1.5</v>
      </c>
      <c r="E87" s="2">
        <v>1.1000000000000001</v>
      </c>
      <c r="F87" s="2">
        <f t="shared" si="7"/>
        <v>1.5</v>
      </c>
      <c r="G87" s="2" t="s">
        <v>19</v>
      </c>
      <c r="H87" s="2" t="s">
        <v>18</v>
      </c>
      <c r="I87" s="3">
        <v>89.6</v>
      </c>
      <c r="J87" s="3">
        <v>135</v>
      </c>
      <c r="K87" s="3">
        <f t="shared" si="8"/>
        <v>-45.4</v>
      </c>
    </row>
    <row r="88" spans="1:11" x14ac:dyDescent="0.25">
      <c r="A88" s="6">
        <v>2001820690</v>
      </c>
      <c r="B88" s="6">
        <v>1091121306101</v>
      </c>
      <c r="C88" s="2">
        <v>6.5000000000000002E-2</v>
      </c>
      <c r="D88" s="2">
        <f t="shared" si="6"/>
        <v>0.5</v>
      </c>
      <c r="E88" s="2">
        <v>0.15</v>
      </c>
      <c r="F88" s="2">
        <f t="shared" si="7"/>
        <v>0.5</v>
      </c>
      <c r="G88" s="2" t="s">
        <v>19</v>
      </c>
      <c r="H88" s="2" t="s">
        <v>18</v>
      </c>
      <c r="I88" s="3">
        <v>33</v>
      </c>
      <c r="J88" s="3">
        <v>45.4</v>
      </c>
      <c r="K88" s="3">
        <f t="shared" si="8"/>
        <v>-12.4</v>
      </c>
    </row>
    <row r="89" spans="1:11" x14ac:dyDescent="0.25">
      <c r="A89" s="6">
        <v>2001811604</v>
      </c>
      <c r="B89" s="6">
        <v>1091118004245</v>
      </c>
      <c r="C89" s="2">
        <v>0.72099999999999997</v>
      </c>
      <c r="D89" s="2">
        <f t="shared" si="6"/>
        <v>1</v>
      </c>
      <c r="E89" s="2">
        <v>0.8</v>
      </c>
      <c r="F89" s="2">
        <f t="shared" si="7"/>
        <v>1</v>
      </c>
      <c r="G89" s="2" t="s">
        <v>20</v>
      </c>
      <c r="H89" s="2" t="s">
        <v>19</v>
      </c>
      <c r="I89" s="3">
        <v>112.1</v>
      </c>
      <c r="J89" s="3">
        <v>61.3</v>
      </c>
      <c r="K89" s="3">
        <f t="shared" si="8"/>
        <v>50.8</v>
      </c>
    </row>
    <row r="90" spans="1:11" x14ac:dyDescent="0.25">
      <c r="A90" s="6">
        <v>2001819252</v>
      </c>
      <c r="B90" s="6">
        <v>1091120352712</v>
      </c>
      <c r="C90" s="2">
        <v>0.27</v>
      </c>
      <c r="D90" s="2">
        <f t="shared" si="6"/>
        <v>0.5</v>
      </c>
      <c r="E90" s="2">
        <v>0.3</v>
      </c>
      <c r="F90" s="2">
        <f t="shared" si="7"/>
        <v>0.5</v>
      </c>
      <c r="G90" s="2" t="s">
        <v>20</v>
      </c>
      <c r="H90" s="2" t="s">
        <v>19</v>
      </c>
      <c r="I90" s="3">
        <v>56.6</v>
      </c>
      <c r="J90" s="3">
        <v>33</v>
      </c>
      <c r="K90" s="3">
        <f t="shared" si="8"/>
        <v>23.6</v>
      </c>
    </row>
    <row r="91" spans="1:11" x14ac:dyDescent="0.25">
      <c r="A91" s="6">
        <v>2001827036</v>
      </c>
      <c r="B91" s="6">
        <v>1091122418320</v>
      </c>
      <c r="C91" s="2">
        <v>1.6759999999999999</v>
      </c>
      <c r="D91" s="2">
        <f t="shared" si="6"/>
        <v>2</v>
      </c>
      <c r="E91" s="2">
        <v>1.6</v>
      </c>
      <c r="F91" s="2">
        <f t="shared" si="7"/>
        <v>2</v>
      </c>
      <c r="G91" s="2" t="s">
        <v>20</v>
      </c>
      <c r="H91" s="2" t="s">
        <v>19</v>
      </c>
      <c r="I91" s="3">
        <v>223.1</v>
      </c>
      <c r="J91" s="3">
        <v>117.9</v>
      </c>
      <c r="K91" s="3">
        <f t="shared" si="8"/>
        <v>105.2</v>
      </c>
    </row>
    <row r="92" spans="1:11" x14ac:dyDescent="0.25">
      <c r="A92" s="6">
        <v>2001806304</v>
      </c>
      <c r="B92" s="6">
        <v>1091117222360</v>
      </c>
      <c r="C92" s="2">
        <v>0.5</v>
      </c>
      <c r="D92" s="2">
        <f t="shared" si="6"/>
        <v>0.5</v>
      </c>
      <c r="E92" s="2">
        <v>0.71</v>
      </c>
      <c r="F92" s="2">
        <f t="shared" si="7"/>
        <v>1</v>
      </c>
      <c r="G92" s="2" t="s">
        <v>19</v>
      </c>
      <c r="H92" s="2" t="s">
        <v>18</v>
      </c>
      <c r="I92" s="3">
        <v>33</v>
      </c>
      <c r="J92" s="3">
        <v>90.2</v>
      </c>
      <c r="K92" s="3">
        <f t="shared" si="8"/>
        <v>-57.2</v>
      </c>
    </row>
    <row r="93" spans="1:11" x14ac:dyDescent="0.25">
      <c r="A93" s="6">
        <v>2001806768</v>
      </c>
      <c r="B93" s="6">
        <v>1091117227116</v>
      </c>
      <c r="C93" s="2">
        <v>0.84</v>
      </c>
      <c r="D93" s="2">
        <f t="shared" si="6"/>
        <v>1</v>
      </c>
      <c r="E93" s="2">
        <v>1.02</v>
      </c>
      <c r="F93" s="2">
        <f t="shared" si="7"/>
        <v>1.5</v>
      </c>
      <c r="G93" s="2" t="s">
        <v>19</v>
      </c>
      <c r="H93" s="2" t="s">
        <v>18</v>
      </c>
      <c r="I93" s="3">
        <v>61.3</v>
      </c>
      <c r="J93" s="3">
        <v>135</v>
      </c>
      <c r="K93" s="3">
        <f t="shared" si="8"/>
        <v>-73.7</v>
      </c>
    </row>
    <row r="94" spans="1:11" x14ac:dyDescent="0.25">
      <c r="A94" s="6">
        <v>2001806823</v>
      </c>
      <c r="B94" s="6">
        <v>1091117228133</v>
      </c>
      <c r="C94" s="2">
        <v>0.127</v>
      </c>
      <c r="D94" s="2">
        <f t="shared" si="6"/>
        <v>0.5</v>
      </c>
      <c r="E94" s="2">
        <v>0.59</v>
      </c>
      <c r="F94" s="2">
        <f t="shared" si="7"/>
        <v>1</v>
      </c>
      <c r="G94" s="2" t="s">
        <v>19</v>
      </c>
      <c r="H94" s="2" t="s">
        <v>18</v>
      </c>
      <c r="I94" s="3">
        <v>33</v>
      </c>
      <c r="J94" s="3">
        <v>90.2</v>
      </c>
      <c r="K94" s="3">
        <f t="shared" si="8"/>
        <v>-57.2</v>
      </c>
    </row>
    <row r="95" spans="1:11" x14ac:dyDescent="0.25">
      <c r="A95" s="6">
        <v>2001806828</v>
      </c>
      <c r="B95" s="6">
        <v>1091117228192</v>
      </c>
      <c r="C95" s="2">
        <v>0.5</v>
      </c>
      <c r="D95" s="2">
        <f t="shared" si="6"/>
        <v>0.5</v>
      </c>
      <c r="E95" s="2">
        <v>0.69</v>
      </c>
      <c r="F95" s="2">
        <f t="shared" si="7"/>
        <v>1</v>
      </c>
      <c r="G95" s="2" t="s">
        <v>19</v>
      </c>
      <c r="H95" s="2" t="s">
        <v>18</v>
      </c>
      <c r="I95" s="3">
        <v>33</v>
      </c>
      <c r="J95" s="3">
        <v>90.2</v>
      </c>
      <c r="K95" s="3">
        <f t="shared" si="8"/>
        <v>-57.2</v>
      </c>
    </row>
    <row r="96" spans="1:11" x14ac:dyDescent="0.25">
      <c r="A96" s="6">
        <v>2001806968</v>
      </c>
      <c r="B96" s="6">
        <v>1091117229183</v>
      </c>
      <c r="C96" s="2">
        <v>0.5</v>
      </c>
      <c r="D96" s="2">
        <f t="shared" si="6"/>
        <v>0.5</v>
      </c>
      <c r="E96" s="2">
        <v>0.68</v>
      </c>
      <c r="F96" s="2">
        <f t="shared" si="7"/>
        <v>1</v>
      </c>
      <c r="G96" s="2" t="s">
        <v>19</v>
      </c>
      <c r="H96" s="2" t="s">
        <v>18</v>
      </c>
      <c r="I96" s="3">
        <v>33</v>
      </c>
      <c r="J96" s="3">
        <v>90.2</v>
      </c>
      <c r="K96" s="3">
        <f t="shared" si="8"/>
        <v>-57.2</v>
      </c>
    </row>
    <row r="97" spans="1:11" x14ac:dyDescent="0.25">
      <c r="A97" s="6">
        <v>2001807328</v>
      </c>
      <c r="B97" s="6">
        <v>1091117324346</v>
      </c>
      <c r="C97" s="2">
        <v>0.49</v>
      </c>
      <c r="D97" s="2">
        <f t="shared" si="6"/>
        <v>0.5</v>
      </c>
      <c r="E97" s="2">
        <v>2.2799999999999998</v>
      </c>
      <c r="F97" s="2">
        <f t="shared" si="7"/>
        <v>2.5</v>
      </c>
      <c r="G97" s="2" t="s">
        <v>19</v>
      </c>
      <c r="H97" s="2" t="s">
        <v>18</v>
      </c>
      <c r="I97" s="3">
        <v>33</v>
      </c>
      <c r="J97" s="3">
        <v>224.6</v>
      </c>
      <c r="K97" s="3">
        <f t="shared" si="8"/>
        <v>-191.6</v>
      </c>
    </row>
    <row r="98" spans="1:11" x14ac:dyDescent="0.25">
      <c r="A98" s="6">
        <v>2001807785</v>
      </c>
      <c r="B98" s="6">
        <v>1091117326424</v>
      </c>
      <c r="C98" s="2">
        <v>0.5</v>
      </c>
      <c r="D98" s="2">
        <f t="shared" ref="D98:D125" si="9">CEILING(C98,0.5)</f>
        <v>0.5</v>
      </c>
      <c r="E98" s="2">
        <v>0.68</v>
      </c>
      <c r="F98" s="2">
        <f t="shared" ref="F98:F125" si="10">CEILING(E98,0.5)</f>
        <v>1</v>
      </c>
      <c r="G98" s="2" t="s">
        <v>19</v>
      </c>
      <c r="H98" s="2" t="s">
        <v>18</v>
      </c>
      <c r="I98" s="3">
        <v>33</v>
      </c>
      <c r="J98" s="3">
        <v>90.2</v>
      </c>
      <c r="K98" s="3">
        <f t="shared" ref="K98:K125" si="11">ROUND(I98-J98,2)</f>
        <v>-57.2</v>
      </c>
    </row>
    <row r="99" spans="1:11" x14ac:dyDescent="0.25">
      <c r="A99" s="6">
        <v>2001807852</v>
      </c>
      <c r="B99" s="6">
        <v>1091117326925</v>
      </c>
      <c r="C99" s="2">
        <v>0.5</v>
      </c>
      <c r="D99" s="2">
        <f t="shared" si="9"/>
        <v>0.5</v>
      </c>
      <c r="E99" s="2">
        <v>0.74</v>
      </c>
      <c r="F99" s="2">
        <f t="shared" si="10"/>
        <v>1</v>
      </c>
      <c r="G99" s="2" t="s">
        <v>19</v>
      </c>
      <c r="H99" s="2" t="s">
        <v>18</v>
      </c>
      <c r="I99" s="3">
        <v>33</v>
      </c>
      <c r="J99" s="3">
        <v>90.2</v>
      </c>
      <c r="K99" s="3">
        <f t="shared" si="11"/>
        <v>-57.2</v>
      </c>
    </row>
    <row r="100" spans="1:11" x14ac:dyDescent="0.25">
      <c r="A100" s="6">
        <v>2001807970</v>
      </c>
      <c r="B100" s="6">
        <v>1091117327474</v>
      </c>
      <c r="C100" s="2">
        <v>0.76500000000000001</v>
      </c>
      <c r="D100" s="2">
        <f t="shared" si="9"/>
        <v>1</v>
      </c>
      <c r="E100" s="2">
        <v>4.13</v>
      </c>
      <c r="F100" s="2">
        <f t="shared" si="10"/>
        <v>4.5</v>
      </c>
      <c r="G100" s="2" t="s">
        <v>19</v>
      </c>
      <c r="H100" s="2" t="s">
        <v>18</v>
      </c>
      <c r="I100" s="3">
        <v>61.3</v>
      </c>
      <c r="J100" s="3">
        <v>403.8</v>
      </c>
      <c r="K100" s="3">
        <f t="shared" si="11"/>
        <v>-342.5</v>
      </c>
    </row>
    <row r="101" spans="1:11" x14ac:dyDescent="0.25">
      <c r="A101" s="6">
        <v>2001807329</v>
      </c>
      <c r="B101" s="6">
        <v>1091117333100</v>
      </c>
      <c r="C101" s="2">
        <v>0.5</v>
      </c>
      <c r="D101" s="2">
        <f t="shared" si="9"/>
        <v>0.5</v>
      </c>
      <c r="E101" s="2">
        <v>0.73</v>
      </c>
      <c r="F101" s="2">
        <f t="shared" si="10"/>
        <v>1</v>
      </c>
      <c r="G101" s="2" t="s">
        <v>19</v>
      </c>
      <c r="H101" s="2" t="s">
        <v>18</v>
      </c>
      <c r="I101" s="3">
        <v>33</v>
      </c>
      <c r="J101" s="3">
        <v>90.2</v>
      </c>
      <c r="K101" s="3">
        <f t="shared" si="11"/>
        <v>-57.2</v>
      </c>
    </row>
    <row r="102" spans="1:11" x14ac:dyDescent="0.25">
      <c r="A102" s="6">
        <v>2001807613</v>
      </c>
      <c r="B102" s="6">
        <v>1091117333251</v>
      </c>
      <c r="C102" s="2">
        <v>0.83</v>
      </c>
      <c r="D102" s="2">
        <f t="shared" si="9"/>
        <v>1</v>
      </c>
      <c r="E102" s="2">
        <v>1.04</v>
      </c>
      <c r="F102" s="2">
        <f t="shared" si="10"/>
        <v>1.5</v>
      </c>
      <c r="G102" s="2" t="s">
        <v>19</v>
      </c>
      <c r="H102" s="2" t="s">
        <v>18</v>
      </c>
      <c r="I102" s="3">
        <v>61.3</v>
      </c>
      <c r="J102" s="3">
        <v>135</v>
      </c>
      <c r="K102" s="3">
        <f t="shared" si="11"/>
        <v>-73.7</v>
      </c>
    </row>
    <row r="103" spans="1:11" x14ac:dyDescent="0.25">
      <c r="A103" s="6">
        <v>2001808475</v>
      </c>
      <c r="B103" s="6">
        <v>1091117436346</v>
      </c>
      <c r="C103" s="2">
        <v>0.5</v>
      </c>
      <c r="D103" s="2">
        <f t="shared" si="9"/>
        <v>0.5</v>
      </c>
      <c r="E103" s="2">
        <v>0.7</v>
      </c>
      <c r="F103" s="2">
        <f t="shared" si="10"/>
        <v>1</v>
      </c>
      <c r="G103" s="2" t="s">
        <v>19</v>
      </c>
      <c r="H103" s="2" t="s">
        <v>18</v>
      </c>
      <c r="I103" s="3">
        <v>33</v>
      </c>
      <c r="J103" s="3">
        <v>90.2</v>
      </c>
      <c r="K103" s="3">
        <f t="shared" si="11"/>
        <v>-57.2</v>
      </c>
    </row>
    <row r="104" spans="1:11" x14ac:dyDescent="0.25">
      <c r="A104" s="6">
        <v>2001808585</v>
      </c>
      <c r="B104" s="6">
        <v>1091117436652</v>
      </c>
      <c r="C104" s="2">
        <v>0.5</v>
      </c>
      <c r="D104" s="2">
        <f t="shared" si="9"/>
        <v>0.5</v>
      </c>
      <c r="E104" s="2">
        <v>0.72</v>
      </c>
      <c r="F104" s="2">
        <f t="shared" si="10"/>
        <v>1</v>
      </c>
      <c r="G104" s="2" t="s">
        <v>20</v>
      </c>
      <c r="H104" s="2" t="s">
        <v>19</v>
      </c>
      <c r="I104" s="3">
        <v>56.6</v>
      </c>
      <c r="J104" s="3">
        <v>61.3</v>
      </c>
      <c r="K104" s="3">
        <f t="shared" si="11"/>
        <v>-4.7</v>
      </c>
    </row>
    <row r="105" spans="1:11" x14ac:dyDescent="0.25">
      <c r="A105" s="6">
        <v>2001808679</v>
      </c>
      <c r="B105" s="6">
        <v>1091117437035</v>
      </c>
      <c r="C105" s="2">
        <v>0.5</v>
      </c>
      <c r="D105" s="2">
        <f t="shared" si="9"/>
        <v>0.5</v>
      </c>
      <c r="E105" s="2">
        <v>0.72</v>
      </c>
      <c r="F105" s="2">
        <f t="shared" si="10"/>
        <v>1</v>
      </c>
      <c r="G105" s="2" t="s">
        <v>19</v>
      </c>
      <c r="H105" s="2" t="s">
        <v>18</v>
      </c>
      <c r="I105" s="3">
        <v>33</v>
      </c>
      <c r="J105" s="3">
        <v>90.2</v>
      </c>
      <c r="K105" s="3">
        <f t="shared" si="11"/>
        <v>-57.2</v>
      </c>
    </row>
    <row r="106" spans="1:11" x14ac:dyDescent="0.25">
      <c r="A106" s="6">
        <v>2001808739</v>
      </c>
      <c r="B106" s="6">
        <v>1091117437293</v>
      </c>
      <c r="C106" s="2">
        <v>0.22</v>
      </c>
      <c r="D106" s="2">
        <f t="shared" si="9"/>
        <v>0.5</v>
      </c>
      <c r="E106" s="2">
        <v>1.63</v>
      </c>
      <c r="F106" s="2">
        <f t="shared" si="10"/>
        <v>2</v>
      </c>
      <c r="G106" s="2" t="s">
        <v>19</v>
      </c>
      <c r="H106" s="2" t="s">
        <v>18</v>
      </c>
      <c r="I106" s="3">
        <v>33</v>
      </c>
      <c r="J106" s="3">
        <v>179.8</v>
      </c>
      <c r="K106" s="3">
        <f t="shared" si="11"/>
        <v>-146.80000000000001</v>
      </c>
    </row>
    <row r="107" spans="1:11" x14ac:dyDescent="0.25">
      <c r="A107" s="6">
        <v>2001808832</v>
      </c>
      <c r="B107" s="6">
        <v>1091117437864</v>
      </c>
      <c r="C107" s="2">
        <v>0.6</v>
      </c>
      <c r="D107" s="2">
        <f t="shared" si="9"/>
        <v>1</v>
      </c>
      <c r="E107" s="2">
        <v>2.4700000000000002</v>
      </c>
      <c r="F107" s="2">
        <f t="shared" si="10"/>
        <v>2.5</v>
      </c>
      <c r="G107" s="2" t="s">
        <v>19</v>
      </c>
      <c r="H107" s="2" t="s">
        <v>18</v>
      </c>
      <c r="I107" s="3">
        <v>61.3</v>
      </c>
      <c r="J107" s="3">
        <v>224.6</v>
      </c>
      <c r="K107" s="3">
        <f t="shared" si="11"/>
        <v>-163.30000000000001</v>
      </c>
    </row>
    <row r="108" spans="1:11" x14ac:dyDescent="0.25">
      <c r="A108" s="6">
        <v>2001808837</v>
      </c>
      <c r="B108" s="6">
        <v>1091117437890</v>
      </c>
      <c r="C108" s="2">
        <v>0.5</v>
      </c>
      <c r="D108" s="2">
        <f t="shared" si="9"/>
        <v>0.5</v>
      </c>
      <c r="E108" s="2">
        <v>0.67</v>
      </c>
      <c r="F108" s="2">
        <f t="shared" si="10"/>
        <v>1</v>
      </c>
      <c r="G108" s="2" t="s">
        <v>19</v>
      </c>
      <c r="H108" s="2" t="s">
        <v>18</v>
      </c>
      <c r="I108" s="3">
        <v>33</v>
      </c>
      <c r="J108" s="3">
        <v>90.2</v>
      </c>
      <c r="K108" s="3">
        <f t="shared" si="11"/>
        <v>-57.2</v>
      </c>
    </row>
    <row r="109" spans="1:11" x14ac:dyDescent="0.25">
      <c r="A109" s="6">
        <v>2001808883</v>
      </c>
      <c r="B109" s="6">
        <v>1091117438074</v>
      </c>
      <c r="C109" s="2">
        <v>0.5</v>
      </c>
      <c r="D109" s="2">
        <f t="shared" si="9"/>
        <v>0.5</v>
      </c>
      <c r="E109" s="2">
        <v>0.72</v>
      </c>
      <c r="F109" s="2">
        <f t="shared" si="10"/>
        <v>1</v>
      </c>
      <c r="G109" s="2" t="s">
        <v>19</v>
      </c>
      <c r="H109" s="2" t="s">
        <v>18</v>
      </c>
      <c r="I109" s="3">
        <v>33</v>
      </c>
      <c r="J109" s="3">
        <v>90.2</v>
      </c>
      <c r="K109" s="3">
        <f t="shared" si="11"/>
        <v>-57.2</v>
      </c>
    </row>
    <row r="110" spans="1:11" x14ac:dyDescent="0.25">
      <c r="A110" s="6">
        <v>2001808992</v>
      </c>
      <c r="B110" s="6">
        <v>1091117611501</v>
      </c>
      <c r="C110" s="2">
        <v>0.5</v>
      </c>
      <c r="D110" s="2">
        <f t="shared" si="9"/>
        <v>0.5</v>
      </c>
      <c r="E110" s="2">
        <v>0.72</v>
      </c>
      <c r="F110" s="2">
        <f t="shared" si="10"/>
        <v>1</v>
      </c>
      <c r="G110" s="2" t="s">
        <v>19</v>
      </c>
      <c r="H110" s="2" t="s">
        <v>18</v>
      </c>
      <c r="I110" s="3">
        <v>33</v>
      </c>
      <c r="J110" s="3">
        <v>90.2</v>
      </c>
      <c r="K110" s="3">
        <f t="shared" si="11"/>
        <v>-57.2</v>
      </c>
    </row>
    <row r="111" spans="1:11" x14ac:dyDescent="0.25">
      <c r="A111" s="6">
        <v>2001809270</v>
      </c>
      <c r="B111" s="6">
        <v>1091117613962</v>
      </c>
      <c r="C111" s="2">
        <v>0.5</v>
      </c>
      <c r="D111" s="2">
        <f t="shared" si="9"/>
        <v>0.5</v>
      </c>
      <c r="E111" s="2">
        <v>0.68</v>
      </c>
      <c r="F111" s="2">
        <f t="shared" si="10"/>
        <v>1</v>
      </c>
      <c r="G111" s="2" t="s">
        <v>19</v>
      </c>
      <c r="H111" s="2" t="s">
        <v>18</v>
      </c>
      <c r="I111" s="3">
        <v>33</v>
      </c>
      <c r="J111" s="3">
        <v>90.2</v>
      </c>
      <c r="K111" s="3">
        <f t="shared" si="11"/>
        <v>-57.2</v>
      </c>
    </row>
    <row r="112" spans="1:11" x14ac:dyDescent="0.25">
      <c r="A112" s="6">
        <v>2001809934</v>
      </c>
      <c r="B112" s="6">
        <v>1091117803511</v>
      </c>
      <c r="C112" s="2">
        <v>0.36099999999999999</v>
      </c>
      <c r="D112" s="2">
        <f t="shared" si="9"/>
        <v>0.5</v>
      </c>
      <c r="E112" s="2">
        <v>0.82</v>
      </c>
      <c r="F112" s="2">
        <f t="shared" si="10"/>
        <v>1</v>
      </c>
      <c r="G112" s="2" t="s">
        <v>19</v>
      </c>
      <c r="H112" s="2" t="s">
        <v>18</v>
      </c>
      <c r="I112" s="3">
        <v>33</v>
      </c>
      <c r="J112" s="3">
        <v>90.2</v>
      </c>
      <c r="K112" s="3">
        <f t="shared" si="11"/>
        <v>-57.2</v>
      </c>
    </row>
    <row r="113" spans="1:11" x14ac:dyDescent="0.25">
      <c r="A113" s="6">
        <v>2001810125</v>
      </c>
      <c r="B113" s="6">
        <v>1091117804314</v>
      </c>
      <c r="C113" s="2">
        <v>0.5</v>
      </c>
      <c r="D113" s="2">
        <f t="shared" si="9"/>
        <v>0.5</v>
      </c>
      <c r="E113" s="2">
        <v>0.66</v>
      </c>
      <c r="F113" s="2">
        <f t="shared" si="10"/>
        <v>1</v>
      </c>
      <c r="G113" s="2" t="s">
        <v>19</v>
      </c>
      <c r="H113" s="2" t="s">
        <v>18</v>
      </c>
      <c r="I113" s="3">
        <v>33</v>
      </c>
      <c r="J113" s="3">
        <v>90.2</v>
      </c>
      <c r="K113" s="3">
        <f t="shared" si="11"/>
        <v>-57.2</v>
      </c>
    </row>
    <row r="114" spans="1:11" x14ac:dyDescent="0.25">
      <c r="A114" s="6">
        <v>2001810281</v>
      </c>
      <c r="B114" s="6">
        <v>1091117805390</v>
      </c>
      <c r="C114" s="2">
        <v>0.5</v>
      </c>
      <c r="D114" s="2">
        <f t="shared" si="9"/>
        <v>0.5</v>
      </c>
      <c r="E114" s="2">
        <v>0.68</v>
      </c>
      <c r="F114" s="2">
        <f t="shared" si="10"/>
        <v>1</v>
      </c>
      <c r="G114" s="2" t="s">
        <v>19</v>
      </c>
      <c r="H114" s="2" t="s">
        <v>18</v>
      </c>
      <c r="I114" s="3">
        <v>33</v>
      </c>
      <c r="J114" s="3">
        <v>90.2</v>
      </c>
      <c r="K114" s="3">
        <f t="shared" si="11"/>
        <v>-57.2</v>
      </c>
    </row>
    <row r="115" spans="1:11" x14ac:dyDescent="0.25">
      <c r="A115" s="6">
        <v>2001810549</v>
      </c>
      <c r="B115" s="6">
        <v>1091117806263</v>
      </c>
      <c r="C115" s="2">
        <v>0.98599999999999999</v>
      </c>
      <c r="D115" s="2">
        <f t="shared" si="9"/>
        <v>1</v>
      </c>
      <c r="E115" s="2">
        <v>1.86</v>
      </c>
      <c r="F115" s="2">
        <f t="shared" si="10"/>
        <v>2</v>
      </c>
      <c r="G115" s="2" t="s">
        <v>19</v>
      </c>
      <c r="H115" s="2" t="s">
        <v>18</v>
      </c>
      <c r="I115" s="3">
        <v>61.3</v>
      </c>
      <c r="J115" s="3">
        <v>179.8</v>
      </c>
      <c r="K115" s="3">
        <f t="shared" si="11"/>
        <v>-118.5</v>
      </c>
    </row>
    <row r="116" spans="1:11" x14ac:dyDescent="0.25">
      <c r="A116" s="6">
        <v>2001810697</v>
      </c>
      <c r="B116" s="6">
        <v>1091117807140</v>
      </c>
      <c r="C116" s="2">
        <v>0.60699999999999998</v>
      </c>
      <c r="D116" s="2">
        <f t="shared" si="9"/>
        <v>1</v>
      </c>
      <c r="E116" s="2">
        <v>2.27</v>
      </c>
      <c r="F116" s="2">
        <f t="shared" si="10"/>
        <v>2.5</v>
      </c>
      <c r="G116" s="2" t="s">
        <v>19</v>
      </c>
      <c r="H116" s="2" t="s">
        <v>18</v>
      </c>
      <c r="I116" s="3">
        <v>61.3</v>
      </c>
      <c r="J116" s="3">
        <v>224.6</v>
      </c>
      <c r="K116" s="3">
        <f t="shared" si="11"/>
        <v>-163.30000000000001</v>
      </c>
    </row>
    <row r="117" spans="1:11" x14ac:dyDescent="0.25">
      <c r="A117" s="6">
        <v>2001811039</v>
      </c>
      <c r="B117" s="6">
        <v>1091117904860</v>
      </c>
      <c r="C117" s="2">
        <v>0.48799999999999999</v>
      </c>
      <c r="D117" s="2">
        <f t="shared" si="9"/>
        <v>0.5</v>
      </c>
      <c r="E117" s="2">
        <v>0.68</v>
      </c>
      <c r="F117" s="2">
        <f t="shared" si="10"/>
        <v>1</v>
      </c>
      <c r="G117" s="2" t="s">
        <v>19</v>
      </c>
      <c r="H117" s="2" t="s">
        <v>18</v>
      </c>
      <c r="I117" s="3">
        <v>33</v>
      </c>
      <c r="J117" s="3">
        <v>90.2</v>
      </c>
      <c r="K117" s="3">
        <f t="shared" si="11"/>
        <v>-57.2</v>
      </c>
    </row>
    <row r="118" spans="1:11" x14ac:dyDescent="0.25">
      <c r="A118" s="6">
        <v>2001811058</v>
      </c>
      <c r="B118" s="6">
        <v>1091117905022</v>
      </c>
      <c r="C118" s="2">
        <v>0.5</v>
      </c>
      <c r="D118" s="2">
        <f t="shared" si="9"/>
        <v>0.5</v>
      </c>
      <c r="E118" s="2">
        <v>0.72</v>
      </c>
      <c r="F118" s="2">
        <f t="shared" si="10"/>
        <v>1</v>
      </c>
      <c r="G118" s="2" t="s">
        <v>19</v>
      </c>
      <c r="H118" s="2" t="s">
        <v>18</v>
      </c>
      <c r="I118" s="3">
        <v>33</v>
      </c>
      <c r="J118" s="3">
        <v>90.2</v>
      </c>
      <c r="K118" s="3">
        <f t="shared" si="11"/>
        <v>-57.2</v>
      </c>
    </row>
    <row r="119" spans="1:11" x14ac:dyDescent="0.25">
      <c r="A119" s="6">
        <v>2001811306</v>
      </c>
      <c r="B119" s="6">
        <v>1091117958163</v>
      </c>
      <c r="C119" s="2">
        <v>0.94499999999999995</v>
      </c>
      <c r="D119" s="2">
        <f t="shared" si="9"/>
        <v>1</v>
      </c>
      <c r="E119" s="2">
        <v>1.1000000000000001</v>
      </c>
      <c r="F119" s="2">
        <f t="shared" si="10"/>
        <v>1.5</v>
      </c>
      <c r="G119" s="2" t="s">
        <v>19</v>
      </c>
      <c r="H119" s="2" t="s">
        <v>18</v>
      </c>
      <c r="I119" s="3">
        <v>61.3</v>
      </c>
      <c r="J119" s="3">
        <v>135</v>
      </c>
      <c r="K119" s="3">
        <f t="shared" si="11"/>
        <v>-73.7</v>
      </c>
    </row>
    <row r="120" spans="1:11" x14ac:dyDescent="0.25">
      <c r="A120" s="6">
        <v>2001812195</v>
      </c>
      <c r="B120" s="6">
        <v>1091118442390</v>
      </c>
      <c r="C120" s="2">
        <v>0.5</v>
      </c>
      <c r="D120" s="2">
        <f t="shared" si="9"/>
        <v>0.5</v>
      </c>
      <c r="E120" s="2">
        <v>0.67</v>
      </c>
      <c r="F120" s="2">
        <f t="shared" si="10"/>
        <v>1</v>
      </c>
      <c r="G120" s="2" t="s">
        <v>19</v>
      </c>
      <c r="H120" s="2" t="s">
        <v>18</v>
      </c>
      <c r="I120" s="3">
        <v>33</v>
      </c>
      <c r="J120" s="3">
        <v>90.2</v>
      </c>
      <c r="K120" s="3">
        <f t="shared" si="11"/>
        <v>-57.2</v>
      </c>
    </row>
    <row r="121" spans="1:11" x14ac:dyDescent="0.25">
      <c r="A121" s="6">
        <v>2001812941</v>
      </c>
      <c r="B121" s="6">
        <v>1091118551656</v>
      </c>
      <c r="C121" s="2">
        <v>0.5</v>
      </c>
      <c r="D121" s="2">
        <f t="shared" si="9"/>
        <v>0.5</v>
      </c>
      <c r="E121" s="2">
        <v>0.73</v>
      </c>
      <c r="F121" s="2">
        <f t="shared" si="10"/>
        <v>1</v>
      </c>
      <c r="G121" s="2" t="s">
        <v>19</v>
      </c>
      <c r="H121" s="2" t="s">
        <v>18</v>
      </c>
      <c r="I121" s="3">
        <v>33</v>
      </c>
      <c r="J121" s="3">
        <v>90.2</v>
      </c>
      <c r="K121" s="3">
        <f t="shared" si="11"/>
        <v>-57.2</v>
      </c>
    </row>
    <row r="122" spans="1:11" x14ac:dyDescent="0.25">
      <c r="A122" s="6">
        <v>2001809383</v>
      </c>
      <c r="B122" s="6">
        <v>1091117614452</v>
      </c>
      <c r="C122" s="2">
        <v>0.60699999999999998</v>
      </c>
      <c r="D122" s="2">
        <f t="shared" si="9"/>
        <v>1</v>
      </c>
      <c r="E122" s="2">
        <v>0.5</v>
      </c>
      <c r="F122" s="2">
        <f t="shared" si="10"/>
        <v>0.5</v>
      </c>
      <c r="G122" s="2" t="s">
        <v>19</v>
      </c>
      <c r="H122" s="2" t="s">
        <v>18</v>
      </c>
      <c r="I122" s="3">
        <v>110.1</v>
      </c>
      <c r="J122" s="3">
        <v>86.7</v>
      </c>
      <c r="K122" s="3">
        <f t="shared" si="11"/>
        <v>23.4</v>
      </c>
    </row>
    <row r="123" spans="1:11" x14ac:dyDescent="0.25">
      <c r="A123" s="6">
        <v>2001820978</v>
      </c>
      <c r="B123" s="6">
        <v>1091120922803</v>
      </c>
      <c r="C123" s="2">
        <v>0.51500000000000001</v>
      </c>
      <c r="D123" s="2">
        <f t="shared" si="9"/>
        <v>1</v>
      </c>
      <c r="E123" s="2">
        <v>0.5</v>
      </c>
      <c r="F123" s="2">
        <f t="shared" si="10"/>
        <v>0.5</v>
      </c>
      <c r="G123" s="2" t="s">
        <v>19</v>
      </c>
      <c r="H123" s="2" t="s">
        <v>18</v>
      </c>
      <c r="I123" s="3">
        <v>61.3</v>
      </c>
      <c r="J123" s="3">
        <v>45.4</v>
      </c>
      <c r="K123" s="3">
        <f t="shared" si="11"/>
        <v>15.9</v>
      </c>
    </row>
    <row r="124" spans="1:11" x14ac:dyDescent="0.25">
      <c r="A124" s="6">
        <v>2001811475</v>
      </c>
      <c r="B124" s="6">
        <v>1091121844806</v>
      </c>
      <c r="C124" s="2">
        <v>0.68899999999999995</v>
      </c>
      <c r="D124" s="2">
        <f t="shared" si="9"/>
        <v>1</v>
      </c>
      <c r="E124" s="2">
        <v>0.5</v>
      </c>
      <c r="F124" s="2">
        <f t="shared" si="10"/>
        <v>0.5</v>
      </c>
      <c r="G124" s="2" t="s">
        <v>20</v>
      </c>
      <c r="H124" s="2" t="s">
        <v>19</v>
      </c>
      <c r="I124" s="3">
        <v>112.1</v>
      </c>
      <c r="J124" s="3">
        <v>33</v>
      </c>
      <c r="K124" s="3">
        <f t="shared" si="11"/>
        <v>79.099999999999994</v>
      </c>
    </row>
    <row r="125" spans="1:11" x14ac:dyDescent="0.25">
      <c r="A125" s="6">
        <v>2001811305</v>
      </c>
      <c r="B125" s="6">
        <v>1091121846136</v>
      </c>
      <c r="C125" s="2">
        <v>0.75</v>
      </c>
      <c r="D125" s="2">
        <f t="shared" si="9"/>
        <v>1</v>
      </c>
      <c r="E125" s="2">
        <v>0.5</v>
      </c>
      <c r="F125" s="2">
        <f t="shared" si="10"/>
        <v>0.5</v>
      </c>
      <c r="G125" s="2" t="s">
        <v>19</v>
      </c>
      <c r="H125" s="2" t="s">
        <v>18</v>
      </c>
      <c r="I125" s="3">
        <v>61.3</v>
      </c>
      <c r="J125" s="3">
        <v>45.4</v>
      </c>
      <c r="K125" s="3">
        <f t="shared" si="11"/>
        <v>15.9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zoomScaleNormal="100" workbookViewId="0">
      <pane ySplit="3" topLeftCell="A4" activePane="bottomLeft" state="frozen"/>
      <selection pane="bottomLeft" activeCell="B6" sqref="B6"/>
    </sheetView>
  </sheetViews>
  <sheetFormatPr defaultColWidth="8.7109375" defaultRowHeight="15" x14ac:dyDescent="0.25"/>
  <cols>
    <col min="1" max="1" width="48" customWidth="1"/>
    <col min="2" max="2" width="12" customWidth="1"/>
    <col min="3" max="3" width="18" customWidth="1"/>
  </cols>
  <sheetData>
    <row r="1" spans="1:3" ht="18" x14ac:dyDescent="0.25">
      <c r="A1" s="7" t="s">
        <v>0</v>
      </c>
      <c r="B1" s="7"/>
      <c r="C1" s="7"/>
    </row>
    <row r="3" spans="1:3" ht="30" customHeight="1" x14ac:dyDescent="0.25">
      <c r="A3" s="1"/>
      <c r="B3" s="1" t="s">
        <v>1</v>
      </c>
      <c r="C3" s="1" t="s">
        <v>2</v>
      </c>
    </row>
    <row r="4" spans="1:3" x14ac:dyDescent="0.25">
      <c r="A4" s="2" t="s">
        <v>3</v>
      </c>
      <c r="B4" s="2">
        <f>COUNTIFS('Order Level Detail'!$K:$K,"&gt;=-0.01",'Order Level Detail'!$K:$K,"&lt;=0.01")</f>
        <v>22</v>
      </c>
      <c r="C4" s="3">
        <f>ROUND(SUMIFS('Order Level Detail'!$J:$J,'Order Level Detail'!$K:$K,"&gt;=-0.01",'Order Level Detail'!$K:$K,"&lt;=0.01"),2)</f>
        <v>1826.9</v>
      </c>
    </row>
    <row r="5" spans="1:3" x14ac:dyDescent="0.25">
      <c r="A5" s="2" t="s">
        <v>4</v>
      </c>
      <c r="B5" s="2">
        <f>COUNTIF('Order Level Detail'!$K:$K,"&lt;-0.01")</f>
        <v>79</v>
      </c>
      <c r="C5" s="3">
        <f>ROUND(-SUMIF('Order Level Detail'!$K:$K,"&lt;-0.01"),2)</f>
        <v>4426.6000000000004</v>
      </c>
    </row>
    <row r="6" spans="1:3" x14ac:dyDescent="0.25">
      <c r="A6" s="2" t="s">
        <v>5</v>
      </c>
      <c r="B6" s="2">
        <f>COUNTIF('Order Level Detail'!$K:$K,"&gt;0.01")</f>
        <v>23</v>
      </c>
      <c r="C6" s="3">
        <f>ROUND(SUMIF('Order Level Detail'!$K:$K,"&gt;0.01"),2)</f>
        <v>575.1</v>
      </c>
    </row>
    <row r="7" spans="1:3" x14ac:dyDescent="0.25">
      <c r="A7" s="4" t="s">
        <v>6</v>
      </c>
      <c r="B7" s="4">
        <f>SUM(B4:B6)</f>
        <v>124</v>
      </c>
      <c r="C7" s="5">
        <f>ROUND(SUM('Order Level Detail'!$J:$J),2)</f>
        <v>13648.2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Level Detail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Manya</cp:lastModifiedBy>
  <cp:revision>0</cp:revision>
  <dcterms:created xsi:type="dcterms:W3CDTF">2026-07-28T10:55:20Z</dcterms:created>
  <dcterms:modified xsi:type="dcterms:W3CDTF">2026-08-01T17:40:37Z</dcterms:modified>
  <dc:language>en-US</dc:language>
</cp:coreProperties>
</file>